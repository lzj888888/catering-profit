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版·决策对比表" sheetId="1" state="visible" r:id="rId1"/>
    <sheet xmlns:r="http://schemas.openxmlformats.org/officeDocument/2006/relationships" name="业态参数包" sheetId="2" state="visible" r:id="rId2"/>
    <sheet xmlns:r="http://schemas.openxmlformats.org/officeDocument/2006/relationships" name="多业态对照" sheetId="3" state="visible" r:id="rId3"/>
    <sheet xmlns:r="http://schemas.openxmlformats.org/officeDocument/2006/relationships" name="复现·原小面表校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FFFFFFFF"/>
      <sz val="15"/>
    </font>
    <font>
      <name val="微软雅黑"/>
      <color rgb="FF595959"/>
      <sz val="9"/>
    </font>
    <font>
      <name val="微软雅黑"/>
      <b val="1"/>
      <color rgb="FF2F5597"/>
      <sz val="11.5"/>
    </font>
    <font>
      <name val="微软雅黑"/>
      <b val="1"/>
      <color rgb="FFFFFFFF"/>
      <sz val="10"/>
    </font>
    <font>
      <name val="微软雅黑"/>
      <sz val="10"/>
    </font>
    <font>
      <name val="微软雅黑"/>
      <b val="1"/>
      <sz val="10"/>
    </font>
    <font>
      <name val="微软雅黑"/>
      <color rgb="FF833C00"/>
      <sz val="9.5"/>
    </font>
  </fonts>
  <fills count="6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9" fontId="5" fillId="3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center" vertical="center" wrapText="1"/>
    </xf>
    <xf numFmtId="1" fontId="5" fillId="3" borderId="1" applyAlignment="1" pivotButton="0" quotePrefix="0" xfId="0">
      <alignment horizontal="center" vertical="center" wrapText="1"/>
    </xf>
    <xf numFmtId="9" fontId="6" fillId="4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9" customWidth="1" min="4" max="4"/>
    <col width="21" customWidth="1" min="5" max="5"/>
    <col width="22" customWidth="1" min="6" max="6"/>
    <col width="17" customWidth="1" min="7" max="7"/>
    <col width="20" customWidth="1" min="8" max="8"/>
    <col width="12" customWidth="1" min="9" max="9"/>
    <col width="46" customWidth="1" min="10" max="10"/>
  </cols>
  <sheetData>
    <row r="1" ht="30" customHeight="1">
      <c r="A1" s="1" t="inlineStr">
        <is>
          <t>店算 · 小店决策对比表（示例：小面 · 30㎡）</t>
        </is>
      </c>
    </row>
    <row r="2">
      <c r="A2" s="2" t="inlineStr">
        <is>
          <t>一眼看懂版：不同房租下，每天要做到多少营业额。参数由店算按业态自动预置，客户不需要填任何专业指标。</t>
        </is>
      </c>
    </row>
    <row r="4">
      <c r="A4" s="3" t="inlineStr">
        <is>
          <t>一、本次测算使用的行业预置参数（改这里，全表自动重算）</t>
        </is>
      </c>
    </row>
    <row r="5">
      <c r="A5" s="4" t="inlineStr">
        <is>
          <t>业态</t>
        </is>
      </c>
      <c r="B5" s="4" t="inlineStr">
        <is>
          <t>菜品毛利率</t>
        </is>
      </c>
      <c r="C5" s="4" t="inlineStr">
        <is>
          <t>水电燃气</t>
        </is>
      </c>
      <c r="D5" s="4" t="inlineStr">
        <is>
          <t>管理费</t>
        </is>
      </c>
      <c r="E5" s="4" t="inlineStr">
        <is>
          <t>杂支损耗</t>
        </is>
      </c>
      <c r="F5" s="4" t="inlineStr">
        <is>
          <t>人工单价(元/人·月)</t>
        </is>
      </c>
      <c r="G5" s="4" t="inlineStr">
        <is>
          <t>月营业天数</t>
        </is>
      </c>
      <c r="H5" s="4" t="inlineStr">
        <is>
          <t>边际贡献率</t>
        </is>
      </c>
      <c r="I5" s="4" t="inlineStr">
        <is>
          <t>客单价(元)</t>
        </is>
      </c>
    </row>
    <row r="6">
      <c r="A6" s="5" t="inlineStr">
        <is>
          <t>小面（快餐）</t>
        </is>
      </c>
      <c r="B6" s="6" t="n">
        <v>0.6</v>
      </c>
      <c r="C6" s="6" t="n">
        <v>0.03</v>
      </c>
      <c r="D6" s="6" t="n">
        <v>0.08</v>
      </c>
      <c r="E6" s="6" t="n">
        <v>0.02</v>
      </c>
      <c r="F6" s="7" t="n">
        <v>4500</v>
      </c>
      <c r="G6" s="8" t="n">
        <v>30</v>
      </c>
      <c r="H6" s="9">
        <f>1-(1-B6)-C6-D6-E6</f>
        <v>0.4699999999999999</v>
      </c>
      <c r="I6" s="7" t="n">
        <v>12</v>
      </c>
      <c r="J6" s="2" t="inlineStr">
        <is>
          <t>边际贡献率 = 1 − 食材成本率 − 水电燃气 − 管理费 − 杂支损耗；食材成本率 = 1 − 菜品毛利率（内部量，不对外展示）。最右一列「日碗数」为单品业态（小面/米粉等）专属，其他业态请忽略该列。</t>
        </is>
      </c>
    </row>
    <row r="8">
      <c r="A8" s="3" t="inlineStr">
        <is>
          <t>二、已有铺面测算：每天要做到多少营业额（元 / 天）</t>
        </is>
      </c>
    </row>
    <row r="9" ht="30" customHeight="1">
      <c r="A9" s="4" t="inlineStr">
        <is>
          <t>月租金(元)</t>
        </is>
      </c>
      <c r="B9" s="4" t="inlineStr">
        <is>
          <t>员工人数(人)</t>
        </is>
      </c>
      <c r="C9" s="4" t="inlineStr">
        <is>
          <t>月固定成本(元)</t>
        </is>
      </c>
      <c r="D9" s="4" t="inlineStr">
        <is>
          <t>保本·日营业额(元)</t>
        </is>
      </c>
      <c r="E9" s="4" t="inlineStr">
        <is>
          <t>月赚1万·日营业额(元)</t>
        </is>
      </c>
      <c r="F9" s="4" t="inlineStr">
        <is>
          <t>月赚1.5万·日营业额(元)</t>
        </is>
      </c>
      <c r="G9" s="4" t="inlineStr">
        <is>
          <t>保本·月营业额(元)</t>
        </is>
      </c>
      <c r="H9" s="4" t="inlineStr">
        <is>
          <t>保本·日碗数(碗)〔可选〕</t>
        </is>
      </c>
    </row>
    <row r="10">
      <c r="A10" s="10" t="n">
        <v>3000</v>
      </c>
      <c r="B10" s="11" t="n">
        <v>2</v>
      </c>
      <c r="C10" s="12">
        <f>A10+B10*$F$6</f>
        <v>12000.0</v>
      </c>
      <c r="D10" s="13">
        <f>ROUND((C10+0)/$H$6/$G$6,0)</f>
        <v>851.0</v>
      </c>
      <c r="E10" s="13">
        <f>ROUND((C10+10000)/$H$6/$G$6,0)</f>
        <v>1560.0</v>
      </c>
      <c r="F10" s="13">
        <f>ROUND((C10+15000)/$H$6/$G$6,0)</f>
        <v>1915.0</v>
      </c>
      <c r="G10" s="13">
        <f>ROUND(C10/$H$6,0)</f>
        <v>25532.0</v>
      </c>
      <c r="H10" s="14">
        <f>ROUNDUP((C10/$H$6)/$I$6/$G$6,0)</f>
        <v>71.0</v>
      </c>
    </row>
    <row r="11">
      <c r="A11" s="10" t="n">
        <v>4000</v>
      </c>
      <c r="B11" s="11" t="n">
        <v>2</v>
      </c>
      <c r="C11" s="12">
        <f>A11+B11*$F$6</f>
        <v>13000.0</v>
      </c>
      <c r="D11" s="13">
        <f>ROUND((C11+0)/$H$6/$G$6,0)</f>
        <v>922.0</v>
      </c>
      <c r="E11" s="13">
        <f>ROUND((C11+10000)/$H$6/$G$6,0)</f>
        <v>1631.0</v>
      </c>
      <c r="F11" s="13">
        <f>ROUND((C11+15000)/$H$6/$G$6,0)</f>
        <v>1986.0</v>
      </c>
      <c r="G11" s="13">
        <f>ROUND(C11/$H$6,0)</f>
        <v>27660.0</v>
      </c>
      <c r="H11" s="14">
        <f>ROUNDUP((C11/$H$6)/$I$6/$G$6,0)</f>
        <v>77.0</v>
      </c>
    </row>
    <row r="12">
      <c r="A12" s="10" t="n">
        <v>5000</v>
      </c>
      <c r="B12" s="11" t="n">
        <v>2</v>
      </c>
      <c r="C12" s="12">
        <f>A12+B12*$F$6</f>
        <v>14000.0</v>
      </c>
      <c r="D12" s="13">
        <f>ROUND((C12+0)/$H$6/$G$6,0)</f>
        <v>993.0</v>
      </c>
      <c r="E12" s="13">
        <f>ROUND((C12+10000)/$H$6/$G$6,0)</f>
        <v>1702.0</v>
      </c>
      <c r="F12" s="13">
        <f>ROUND((C12+15000)/$H$6/$G$6,0)</f>
        <v>2057.0</v>
      </c>
      <c r="G12" s="13">
        <f>ROUND(C12/$H$6,0)</f>
        <v>29787.0</v>
      </c>
      <c r="H12" s="14">
        <f>ROUNDUP((C12/$H$6)/$I$6/$G$6,0)</f>
        <v>83.0</v>
      </c>
    </row>
    <row r="13">
      <c r="A13" s="10" t="n">
        <v>6000</v>
      </c>
      <c r="B13" s="11" t="n">
        <v>2</v>
      </c>
      <c r="C13" s="12">
        <f>A13+B13*$F$6</f>
        <v>15000.0</v>
      </c>
      <c r="D13" s="13">
        <f>ROUND((C13+0)/$H$6/$G$6,0)</f>
        <v>1064.0</v>
      </c>
      <c r="E13" s="13">
        <f>ROUND((C13+10000)/$H$6/$G$6,0)</f>
        <v>1773.0</v>
      </c>
      <c r="F13" s="13">
        <f>ROUND((C13+15000)/$H$6/$G$6,0)</f>
        <v>2128.0</v>
      </c>
      <c r="G13" s="13">
        <f>ROUND(C13/$H$6,0)</f>
        <v>31915.0</v>
      </c>
      <c r="H13" s="14">
        <f>ROUNDUP((C13/$H$6)/$I$6/$G$6,0)</f>
        <v>89.0</v>
      </c>
    </row>
    <row r="14">
      <c r="A14" s="10" t="n">
        <v>7000</v>
      </c>
      <c r="B14" s="11" t="n">
        <v>2</v>
      </c>
      <c r="C14" s="12">
        <f>A14+B14*$F$6</f>
        <v>16000.0</v>
      </c>
      <c r="D14" s="13">
        <f>ROUND((C14+0)/$H$6/$G$6,0)</f>
        <v>1135.0</v>
      </c>
      <c r="E14" s="13">
        <f>ROUND((C14+10000)/$H$6/$G$6,0)</f>
        <v>1844.0</v>
      </c>
      <c r="F14" s="13">
        <f>ROUND((C14+15000)/$H$6/$G$6,0)</f>
        <v>2199.0</v>
      </c>
      <c r="G14" s="13">
        <f>ROUND(C14/$H$6,0)</f>
        <v>34043.0</v>
      </c>
      <c r="H14" s="14">
        <f>ROUNDUP((C14/$H$6)/$I$6/$G$6,0)</f>
        <v>95.0</v>
      </c>
    </row>
    <row r="15">
      <c r="A15" s="10" t="n">
        <v>8000</v>
      </c>
      <c r="B15" s="11" t="n">
        <v>2</v>
      </c>
      <c r="C15" s="12">
        <f>A15+B15*$F$6</f>
        <v>17000.0</v>
      </c>
      <c r="D15" s="13">
        <f>ROUND((C15+0)/$H$6/$G$6,0)</f>
        <v>1206.0</v>
      </c>
      <c r="E15" s="13">
        <f>ROUND((C15+10000)/$H$6/$G$6,0)</f>
        <v>1915.0</v>
      </c>
      <c r="F15" s="13">
        <f>ROUND((C15+15000)/$H$6/$G$6,0)</f>
        <v>2270.0</v>
      </c>
      <c r="G15" s="13">
        <f>ROUND(C15/$H$6,0)</f>
        <v>36170.0</v>
      </c>
      <c r="H15" s="14">
        <f>ROUNDUP((C15/$H$6)/$I$6/$G$6,0)</f>
        <v>101.0</v>
      </c>
    </row>
    <row r="16">
      <c r="A16" s="10" t="n">
        <v>9000</v>
      </c>
      <c r="B16" s="11" t="n">
        <v>2</v>
      </c>
      <c r="C16" s="12">
        <f>A16+B16*$F$6</f>
        <v>18000.0</v>
      </c>
      <c r="D16" s="13">
        <f>ROUND((C16+0)/$H$6/$G$6,0)</f>
        <v>1277.0</v>
      </c>
      <c r="E16" s="13">
        <f>ROUND((C16+10000)/$H$6/$G$6,0)</f>
        <v>1986.0</v>
      </c>
      <c r="F16" s="13">
        <f>ROUND((C16+15000)/$H$6/$G$6,0)</f>
        <v>2340.0</v>
      </c>
      <c r="G16" s="13">
        <f>ROUND(C16/$H$6,0)</f>
        <v>38298.0</v>
      </c>
      <c r="H16" s="14">
        <f>ROUNDUP((C16/$H$6)/$I$6/$G$6,0)</f>
        <v>107.0</v>
      </c>
    </row>
    <row r="17">
      <c r="A17" s="10" t="n">
        <v>10000</v>
      </c>
      <c r="B17" s="11" t="n">
        <v>2</v>
      </c>
      <c r="C17" s="12">
        <f>A17+B17*$F$6</f>
        <v>19000.0</v>
      </c>
      <c r="D17" s="13">
        <f>ROUND((C17+0)/$H$6/$G$6,0)</f>
        <v>1348.0</v>
      </c>
      <c r="E17" s="13">
        <f>ROUND((C17+10000)/$H$6/$G$6,0)</f>
        <v>2057.0</v>
      </c>
      <c r="F17" s="13">
        <f>ROUND((C17+15000)/$H$6/$G$6,0)</f>
        <v>2411.0</v>
      </c>
      <c r="G17" s="13">
        <f>ROUND(C17/$H$6,0)</f>
        <v>40426.0</v>
      </c>
      <c r="H17" s="14">
        <f>ROUNDUP((C17/$H$6)/$I$6/$G$6,0)</f>
        <v>113.0</v>
      </c>
    </row>
    <row r="18">
      <c r="A18" s="10" t="n">
        <v>3000</v>
      </c>
      <c r="B18" s="11" t="n">
        <v>3</v>
      </c>
      <c r="C18" s="12">
        <f>A18+B18*$F$6</f>
        <v>16500.0</v>
      </c>
      <c r="D18" s="13">
        <f>ROUND((C18+0)/$H$6/$G$6,0)</f>
        <v>1170.0</v>
      </c>
      <c r="E18" s="13">
        <f>ROUND((C18+10000)/$H$6/$G$6,0)</f>
        <v>1879.0</v>
      </c>
      <c r="F18" s="13">
        <f>ROUND((C18+15000)/$H$6/$G$6,0)</f>
        <v>2234.0</v>
      </c>
      <c r="G18" s="13">
        <f>ROUND(C18/$H$6,0)</f>
        <v>35106.0</v>
      </c>
      <c r="H18" s="14">
        <f>ROUNDUP((C18/$H$6)/$I$6/$G$6,0)</f>
        <v>98.0</v>
      </c>
    </row>
    <row r="19">
      <c r="A19" s="10" t="n">
        <v>4000</v>
      </c>
      <c r="B19" s="11" t="n">
        <v>3</v>
      </c>
      <c r="C19" s="12">
        <f>A19+B19*$F$6</f>
        <v>17500.0</v>
      </c>
      <c r="D19" s="13">
        <f>ROUND((C19+0)/$H$6/$G$6,0)</f>
        <v>1241.0</v>
      </c>
      <c r="E19" s="13">
        <f>ROUND((C19+10000)/$H$6/$G$6,0)</f>
        <v>1950.0</v>
      </c>
      <c r="F19" s="13">
        <f>ROUND((C19+15000)/$H$6/$G$6,0)</f>
        <v>2305.0</v>
      </c>
      <c r="G19" s="13">
        <f>ROUND(C19/$H$6,0)</f>
        <v>37234.0</v>
      </c>
      <c r="H19" s="14">
        <f>ROUNDUP((C19/$H$6)/$I$6/$G$6,0)</f>
        <v>104.0</v>
      </c>
    </row>
    <row r="20">
      <c r="A20" s="10" t="n">
        <v>5000</v>
      </c>
      <c r="B20" s="11" t="n">
        <v>3</v>
      </c>
      <c r="C20" s="12">
        <f>A20+B20*$F$6</f>
        <v>18500.0</v>
      </c>
      <c r="D20" s="13">
        <f>ROUND((C20+0)/$H$6/$G$6,0)</f>
        <v>1312.0</v>
      </c>
      <c r="E20" s="13">
        <f>ROUND((C20+10000)/$H$6/$G$6,0)</f>
        <v>2021.0</v>
      </c>
      <c r="F20" s="13">
        <f>ROUND((C20+15000)/$H$6/$G$6,0)</f>
        <v>2376.0</v>
      </c>
      <c r="G20" s="13">
        <f>ROUND(C20/$H$6,0)</f>
        <v>39362.0</v>
      </c>
      <c r="H20" s="14">
        <f>ROUNDUP((C20/$H$6)/$I$6/$G$6,0)</f>
        <v>110.0</v>
      </c>
    </row>
    <row r="21">
      <c r="A21" s="10" t="n">
        <v>6000</v>
      </c>
      <c r="B21" s="11" t="n">
        <v>3</v>
      </c>
      <c r="C21" s="12">
        <f>A21+B21*$F$6</f>
        <v>19500.0</v>
      </c>
      <c r="D21" s="13">
        <f>ROUND((C21+0)/$H$6/$G$6,0)</f>
        <v>1383.0</v>
      </c>
      <c r="E21" s="13">
        <f>ROUND((C21+10000)/$H$6/$G$6,0)</f>
        <v>2092.0</v>
      </c>
      <c r="F21" s="13">
        <f>ROUND((C21+15000)/$H$6/$G$6,0)</f>
        <v>2447.0</v>
      </c>
      <c r="G21" s="13">
        <f>ROUND(C21/$H$6,0)</f>
        <v>41489.0</v>
      </c>
      <c r="H21" s="14">
        <f>ROUNDUP((C21/$H$6)/$I$6/$G$6,0)</f>
        <v>116.0</v>
      </c>
    </row>
    <row r="22">
      <c r="A22" s="10" t="n">
        <v>7000</v>
      </c>
      <c r="B22" s="11" t="n">
        <v>3</v>
      </c>
      <c r="C22" s="12">
        <f>A22+B22*$F$6</f>
        <v>20500.0</v>
      </c>
      <c r="D22" s="13">
        <f>ROUND((C22+0)/$H$6/$G$6,0)</f>
        <v>1454.0</v>
      </c>
      <c r="E22" s="13">
        <f>ROUND((C22+10000)/$H$6/$G$6,0)</f>
        <v>2163.0</v>
      </c>
      <c r="F22" s="13">
        <f>ROUND((C22+15000)/$H$6/$G$6,0)</f>
        <v>2518.0</v>
      </c>
      <c r="G22" s="13">
        <f>ROUND(C22/$H$6,0)</f>
        <v>43617.0</v>
      </c>
      <c r="H22" s="14">
        <f>ROUNDUP((C22/$H$6)/$I$6/$G$6,0)</f>
        <v>122.0</v>
      </c>
    </row>
    <row r="23">
      <c r="A23" s="10" t="n">
        <v>8000</v>
      </c>
      <c r="B23" s="11" t="n">
        <v>3</v>
      </c>
      <c r="C23" s="12">
        <f>A23+B23*$F$6</f>
        <v>21500.0</v>
      </c>
      <c r="D23" s="13">
        <f>ROUND((C23+0)/$H$6/$G$6,0)</f>
        <v>1525.0</v>
      </c>
      <c r="E23" s="13">
        <f>ROUND((C23+10000)/$H$6/$G$6,0)</f>
        <v>2234.0</v>
      </c>
      <c r="F23" s="13">
        <f>ROUND((C23+15000)/$H$6/$G$6,0)</f>
        <v>2589.0</v>
      </c>
      <c r="G23" s="13">
        <f>ROUND(C23/$H$6,0)</f>
        <v>45745.0</v>
      </c>
      <c r="H23" s="14">
        <f>ROUNDUP((C23/$H$6)/$I$6/$G$6,0)</f>
        <v>128.0</v>
      </c>
    </row>
    <row r="24">
      <c r="A24" s="10" t="n">
        <v>9000</v>
      </c>
      <c r="B24" s="11" t="n">
        <v>3</v>
      </c>
      <c r="C24" s="12">
        <f>A24+B24*$F$6</f>
        <v>22500.0</v>
      </c>
      <c r="D24" s="13">
        <f>ROUND((C24+0)/$H$6/$G$6,0)</f>
        <v>1596.0</v>
      </c>
      <c r="E24" s="13">
        <f>ROUND((C24+10000)/$H$6/$G$6,0)</f>
        <v>2305.0</v>
      </c>
      <c r="F24" s="13">
        <f>ROUND((C24+15000)/$H$6/$G$6,0)</f>
        <v>2660.0</v>
      </c>
      <c r="G24" s="13">
        <f>ROUND(C24/$H$6,0)</f>
        <v>47872.0</v>
      </c>
      <c r="H24" s="14">
        <f>ROUNDUP((C24/$H$6)/$I$6/$G$6,0)</f>
        <v>133.0</v>
      </c>
    </row>
    <row r="25">
      <c r="A25" s="10" t="n">
        <v>10000</v>
      </c>
      <c r="B25" s="11" t="n">
        <v>3</v>
      </c>
      <c r="C25" s="12">
        <f>A25+B25*$F$6</f>
        <v>23500.0</v>
      </c>
      <c r="D25" s="13">
        <f>ROUND((C25+0)/$H$6/$G$6,0)</f>
        <v>1667.0</v>
      </c>
      <c r="E25" s="13">
        <f>ROUND((C25+10000)/$H$6/$G$6,0)</f>
        <v>2376.0</v>
      </c>
      <c r="F25" s="13">
        <f>ROUND((C25+15000)/$H$6/$G$6,0)</f>
        <v>2730.0</v>
      </c>
      <c r="G25" s="13">
        <f>ROUND(C25/$H$6,0)</f>
        <v>50000.0</v>
      </c>
      <c r="H25" s="14">
        <f>ROUNDUP((C25/$H$6)/$I$6/$G$6,0)</f>
        <v>139.0</v>
      </c>
    </row>
    <row r="27">
      <c r="A27" s="15" t="inlineStr">
        <is>
          <t>⚠️ 测算仅供决策参考：以上结果基于【小面·快餐】行业通用参数估算，实际经营受选址、客流、管理水平影响会有较大偏差。若你的门店成本结构与行业默认差异较大，请修改上表参数后重新测算。</t>
        </is>
      </c>
    </row>
    <row r="28"/>
  </sheetData>
  <mergeCells count="5">
    <mergeCell ref="A4:H4"/>
    <mergeCell ref="A2:H2"/>
    <mergeCell ref="A1:H1"/>
    <mergeCell ref="A8:H8"/>
    <mergeCell ref="A27:H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4" customWidth="1" min="5" max="5"/>
    <col width="12" customWidth="1" min="6" max="6"/>
    <col width="62" customWidth="1" min="7" max="7"/>
  </cols>
  <sheetData>
    <row r="1" ht="28" customHeight="1">
      <c r="A1" s="1" t="inlineStr">
        <is>
          <t>店算 · 业态参数包（行业预置，单源）</t>
        </is>
      </c>
    </row>
    <row r="2">
      <c r="A2" s="2" t="inlineStr">
        <is>
          <t>核心纪律：每个业态整套参数独立配置，禁止只改食材率、其余沿用别业态模板。</t>
        </is>
      </c>
    </row>
    <row r="4" ht="26" customHeight="1">
      <c r="A4" s="4" t="inlineStr">
        <is>
          <t>参数项</t>
        </is>
      </c>
      <c r="B4" s="4" t="inlineStr">
        <is>
          <t>单位</t>
        </is>
      </c>
      <c r="C4" s="4" t="inlineStr">
        <is>
          <t>小面（快餐）</t>
        </is>
      </c>
      <c r="D4" s="4" t="inlineStr">
        <is>
          <t>火锅</t>
        </is>
      </c>
      <c r="E4" s="4" t="inlineStr">
        <is>
          <t>新式奶茶</t>
        </is>
      </c>
      <c r="F4" s="4" t="inlineStr">
        <is>
          <t>烧烤</t>
        </is>
      </c>
      <c r="G4" s="4" t="inlineStr">
        <is>
          <t>取值依据 / 来源</t>
        </is>
      </c>
    </row>
    <row r="5">
      <c r="A5" s="5" t="inlineStr">
        <is>
          <t>菜品毛利率</t>
        </is>
      </c>
      <c r="B5" s="5" t="inlineStr">
        <is>
          <t>%</t>
        </is>
      </c>
      <c r="C5" s="6" t="n">
        <v>0.6</v>
      </c>
      <c r="D5" s="6" t="n">
        <v>0.55</v>
      </c>
      <c r="E5" s="6" t="n">
        <v>0.68</v>
      </c>
      <c r="F5" s="6" t="n">
        <v>0.58</v>
      </c>
      <c r="G5" s="16" t="inlineStr">
        <is>
          <t>仓内行业参考带 58~68 / 52~67 / 62~72 / 55~65；取带内偏保守值</t>
        </is>
      </c>
    </row>
    <row r="6">
      <c r="A6" s="5" t="inlineStr">
        <is>
          <t>水电燃气</t>
        </is>
      </c>
      <c r="B6" s="5" t="inlineStr">
        <is>
          <t>%</t>
        </is>
      </c>
      <c r="C6" s="6" t="n">
        <v>0.03</v>
      </c>
      <c r="D6" s="6" t="n">
        <v>0.05</v>
      </c>
      <c r="E6" s="6" t="n">
        <v>0.02</v>
      </c>
      <c r="F6" s="6" t="n">
        <v>0.04</v>
      </c>
      <c r="G6" s="16" t="inlineStr">
        <is>
          <t>参考带 2~4 / 4~6 / 1~3 / 3~5。⚠️ 外部口径称火锅 8~12%，与仓内单源冲突，待核</t>
        </is>
      </c>
    </row>
    <row r="7">
      <c r="A7" s="5" t="inlineStr">
        <is>
          <t>管理费</t>
        </is>
      </c>
      <c r="B7" s="5" t="inlineStr">
        <is>
          <t>%</t>
        </is>
      </c>
      <c r="C7" s="6" t="n">
        <v>0.08</v>
      </c>
      <c r="D7" s="6" t="n">
        <v>0.08</v>
      </c>
      <c r="E7" s="6" t="n">
        <v>0.08</v>
      </c>
      <c r="F7" s="6" t="n">
        <v>0.08</v>
      </c>
      <c r="G7" s="16" t="inlineStr">
        <is>
          <t>参考带 5~10；四业态暂取中值 8%</t>
        </is>
      </c>
    </row>
    <row r="8">
      <c r="A8" s="5" t="inlineStr">
        <is>
          <t>杂支损耗</t>
        </is>
      </c>
      <c r="B8" s="5" t="inlineStr">
        <is>
          <t>%</t>
        </is>
      </c>
      <c r="C8" s="6" t="n">
        <v>0.02</v>
      </c>
      <c r="D8" s="6" t="n">
        <v>0.03</v>
      </c>
      <c r="E8" s="6" t="n">
        <v>0.02</v>
      </c>
      <c r="F8" s="6" t="n">
        <v>0.04</v>
      </c>
      <c r="G8" s="16" t="inlineStr">
        <is>
          <t>小面沿用客户原表 2%；其余为我方自定值，待样本校准</t>
        </is>
      </c>
    </row>
    <row r="9">
      <c r="A9" s="5" t="inlineStr">
        <is>
          <t>人工单价</t>
        </is>
      </c>
      <c r="B9" s="5" t="inlineStr">
        <is>
          <t>元/人·月</t>
        </is>
      </c>
      <c r="C9" s="7" t="n">
        <v>4500</v>
      </c>
      <c r="D9" s="7" t="n">
        <v>5000</v>
      </c>
      <c r="E9" s="7" t="n">
        <v>4500</v>
      </c>
      <c r="F9" s="7" t="n">
        <v>4800</v>
      </c>
      <c r="G9" s="16" t="inlineStr">
        <is>
          <t>小面沿用客户原表 4500。⚠️ 其余为自定值，随城市层级系数联动，待校准</t>
        </is>
      </c>
    </row>
    <row r="10">
      <c r="A10" s="5" t="inlineStr">
        <is>
          <t>月营业天数</t>
        </is>
      </c>
      <c r="B10" s="5" t="inlineStr">
        <is>
          <t>天</t>
        </is>
      </c>
      <c r="C10" s="8" t="n">
        <v>30</v>
      </c>
      <c r="D10" s="8" t="n">
        <v>27</v>
      </c>
      <c r="E10" s="8" t="n">
        <v>30</v>
      </c>
      <c r="F10" s="8" t="n">
        <v>26</v>
      </c>
      <c r="G10" s="16" t="inlineStr">
        <is>
          <t>快餐/奶茶多为 30 天；火锅月休 4~6 天；烧烤夜宵市场天数偏少</t>
        </is>
      </c>
    </row>
    <row r="11">
      <c r="A11" s="5" t="inlineStr">
        <is>
          <t>客单价</t>
        </is>
      </c>
      <c r="B11" s="5" t="inlineStr">
        <is>
          <t>元</t>
        </is>
      </c>
      <c r="C11" s="7" t="n">
        <v>12</v>
      </c>
      <c r="D11" s="7" t="n">
        <v>85</v>
      </c>
      <c r="E11" s="7" t="n">
        <v>15</v>
      </c>
      <c r="F11" s="7" t="n">
        <v>60</v>
      </c>
      <c r="G11" s="16" t="inlineStr">
        <is>
          <t>小面沿用客户原表 12。⚠️ 其余为自定值，待校准</t>
        </is>
      </c>
    </row>
    <row r="12">
      <c r="A12" s="17" t="inlineStr">
        <is>
          <t>边际贡献率</t>
        </is>
      </c>
      <c r="B12" s="5" t="inlineStr">
        <is>
          <t>%</t>
        </is>
      </c>
      <c r="C12" s="9">
        <f>1-(1-C5)-C6-C7-C8</f>
        <v>0.4699999999999999</v>
      </c>
      <c r="D12" s="9">
        <f>1-(1-D5)-D6-D7-D8</f>
        <v>0.39</v>
      </c>
      <c r="E12" s="9">
        <f>1-(1-E5)-E6-E7-E8</f>
        <v>0.56</v>
      </c>
      <c r="F12" s="9">
        <f>1-(1-F5)-F6-F7-F8</f>
        <v>0.41999999999999993</v>
      </c>
      <c r="G12" s="16" t="inlineStr">
        <is>
          <t>边际贡献率 = 1 − 食材成本率 − 水电燃气 − 管理费 − 杂支损耗（由左侧参数自动算出）</t>
        </is>
      </c>
    </row>
    <row r="14">
      <c r="A14" s="2" t="inlineStr">
        <is>
          <t>口径说明：① 本表把水电燃气、管理费、杂支损耗按「随营业额变动的费率」处理，与客户原《小面测算》一致，小白无需估算金额；② 店算主引擎的固定成本科目仍支持按金额录入，两套口径由「入参变换」切换，引擎本身无需改动；③ 标 ⚠️ 的取值为待校准项，落地前需用真实门店样本回归。</t>
        </is>
      </c>
    </row>
    <row r="15"/>
    <row r="16"/>
  </sheetData>
  <mergeCells count="3">
    <mergeCell ref="A14:G16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2" customWidth="1" min="4" max="4"/>
    <col width="18" customWidth="1" min="5" max="5"/>
    <col width="21" customWidth="1" min="6" max="6"/>
    <col width="21" customWidth="1" min="7" max="7"/>
    <col width="42" customWidth="1" min="8" max="8"/>
  </cols>
  <sheetData>
    <row r="1" ht="28" customHeight="1">
      <c r="A1" s="1" t="inlineStr">
        <is>
          <t>多业态对照：同一家店，换个业态，门槛差多少</t>
        </is>
      </c>
    </row>
    <row r="2">
      <c r="A2" s="2" t="inlineStr">
        <is>
          <t>统一条件：面积 30㎡ ｜ 月租金 5,000 元 ｜ 员工 2 人 ｜ 目标：月净赚 1 万元</t>
        </is>
      </c>
    </row>
    <row r="4" ht="30" customHeight="1">
      <c r="A4" s="4" t="inlineStr">
        <is>
          <t>业态</t>
        </is>
      </c>
      <c r="B4" s="4" t="inlineStr">
        <is>
          <t>月人工(元)</t>
        </is>
      </c>
      <c r="C4" s="4" t="inlineStr">
        <is>
          <t>月固定成本(元)</t>
        </is>
      </c>
      <c r="D4" s="4" t="inlineStr">
        <is>
          <t>边际贡献率</t>
        </is>
      </c>
      <c r="E4" s="4" t="inlineStr">
        <is>
          <t>保本·日营业额(元)</t>
        </is>
      </c>
      <c r="F4" s="4" t="inlineStr">
        <is>
          <t>月赚1万·日营业额(元)</t>
        </is>
      </c>
      <c r="G4" s="4" t="inlineStr">
        <is>
          <t>月赚1万·月营业额(元)</t>
        </is>
      </c>
      <c r="H4" s="4" t="inlineStr">
        <is>
          <t>说明</t>
        </is>
      </c>
    </row>
    <row r="5">
      <c r="A5" s="5" t="inlineStr">
        <is>
          <t>小面（快餐）</t>
        </is>
      </c>
      <c r="B5" s="10">
        <f>2*业态参数包!C9</f>
        <v>9000.0</v>
      </c>
      <c r="C5" s="10">
        <f>5000+B5</f>
        <v>14000.0</v>
      </c>
      <c r="D5" s="9">
        <f>业态参数包!C12</f>
        <v>0.4699999999999999</v>
      </c>
      <c r="E5" s="13">
        <f>ROUND(C5/D5/业态参数包!C10,0)</f>
        <v>993.0</v>
      </c>
      <c r="F5" s="13">
        <f>ROUND((C5+10000)/D5/业态参数包!C10,0)</f>
        <v>1702.0</v>
      </c>
      <c r="G5" s="13">
        <f>ROUND((C5+10000)/D5,0)</f>
        <v>51064.0</v>
      </c>
      <c r="H5" s="18" t="inlineStr">
        <is>
          <t>客单价低、翻台快；门槛靠日均客流撑</t>
        </is>
      </c>
    </row>
    <row r="6">
      <c r="A6" s="5" t="inlineStr">
        <is>
          <t>火锅</t>
        </is>
      </c>
      <c r="B6" s="10">
        <f>2*业态参数包!D9</f>
        <v>10000.0</v>
      </c>
      <c r="C6" s="10">
        <f>5000+B6</f>
        <v>15000.0</v>
      </c>
      <c r="D6" s="9">
        <f>业态参数包!D12</f>
        <v>0.39</v>
      </c>
      <c r="E6" s="13">
        <f>ROUND(C6/D6/业态参数包!D10,0)</f>
        <v>1425.0</v>
      </c>
      <c r="F6" s="13">
        <f>ROUND((C6+10000)/D6/业态参数包!D10,0)</f>
        <v>2374.0</v>
      </c>
      <c r="G6" s="13">
        <f>ROUND((C6+10000)/D6,0)</f>
        <v>64103.0</v>
      </c>
      <c r="H6" s="18" t="inlineStr">
        <is>
          <t>水电燃气高、月休多，保本线被显著抬高</t>
        </is>
      </c>
    </row>
    <row r="7">
      <c r="A7" s="5" t="inlineStr">
        <is>
          <t>新式奶茶</t>
        </is>
      </c>
      <c r="B7" s="10">
        <f>2*业态参数包!E9</f>
        <v>9000.0</v>
      </c>
      <c r="C7" s="10">
        <f>5000+B7</f>
        <v>14000.0</v>
      </c>
      <c r="D7" s="9">
        <f>业态参数包!E12</f>
        <v>0.56</v>
      </c>
      <c r="E7" s="13">
        <f>ROUND(C7/D7/业态参数包!E10,0)</f>
        <v>833.0</v>
      </c>
      <c r="F7" s="13">
        <f>ROUND((C7+10000)/D7/业态参数包!E10,0)</f>
        <v>1429.0</v>
      </c>
      <c r="G7" s="13">
        <f>ROUND((C7+10000)/D7,0)</f>
        <v>42857.0</v>
      </c>
      <c r="H7" s="18" t="inlineStr">
        <is>
          <t>食材占比低，保本线最低；但房租承受力弱</t>
        </is>
      </c>
    </row>
    <row r="8">
      <c r="A8" s="5" t="inlineStr">
        <is>
          <t>烧烤</t>
        </is>
      </c>
      <c r="B8" s="10">
        <f>2*业态参数包!F9</f>
        <v>9600.0</v>
      </c>
      <c r="C8" s="10">
        <f>5000+B8</f>
        <v>14600.0</v>
      </c>
      <c r="D8" s="9">
        <f>业态参数包!F12</f>
        <v>0.41999999999999993</v>
      </c>
      <c r="E8" s="13">
        <f>ROUND(C8/D8/业态参数包!F10,0)</f>
        <v>1337.0</v>
      </c>
      <c r="F8" s="13">
        <f>ROUND((C8+10000)/D8/业态参数包!F10,0)</f>
        <v>2253.0</v>
      </c>
      <c r="G8" s="13">
        <f>ROUND((C8+10000)/D8,0)</f>
        <v>58571.0</v>
      </c>
      <c r="H8" s="18" t="inlineStr">
        <is>
          <t>损耗高、营业天数少，同样利润需更高日流水</t>
        </is>
      </c>
    </row>
    <row r="11">
      <c r="A11" s="15" t="inlineStr">
        <is>
          <t>结论：同一「30㎡ / 租金 5000 / 2 人 / 月赚 1 万」条件下，四个业态的日营业额门槛可相差约一倍 —— 参数包必须整套独立，不能只换食材率。</t>
        </is>
      </c>
    </row>
  </sheetData>
  <mergeCells count="3">
    <mergeCell ref="A11:H11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5" customWidth="1" min="4" max="4"/>
    <col width="11" customWidth="1" min="5" max="5"/>
    <col width="13" customWidth="1" min="6" max="6"/>
    <col width="15" customWidth="1" min="7" max="7"/>
    <col width="15" customWidth="1" min="8" max="8"/>
    <col width="9" customWidth="1" min="9" max="9"/>
    <col width="12" customWidth="1" min="10" max="10"/>
    <col width="12" customWidth="1" min="11" max="11"/>
  </cols>
  <sheetData>
    <row r="1" ht="28" customHeight="1">
      <c r="A1" s="1" t="inlineStr">
        <is>
          <t>复现校验：原《小面测算.xlsx》口径逐行复算（贡献率 43%）</t>
        </is>
      </c>
    </row>
    <row r="2">
      <c r="A2" s="2" t="inlineStr">
        <is>
          <t>原表口径：月人工 = 人数×4500 ｜ 固定成本 = 房租+人工 ｜ 贡献率 = 1−45%食材−5%水电−5%管理−2%杂支 = 43% ｜ 月营业额 =（固定成本+目标净利）÷43% ｜ 日碗数 = 向上取整(月营业额÷12÷30)</t>
        </is>
      </c>
    </row>
    <row r="4" ht="28" customHeight="1">
      <c r="A4" s="4" t="inlineStr">
        <is>
          <t>月租金(元)</t>
        </is>
      </c>
      <c r="B4" s="4" t="inlineStr">
        <is>
          <t>人数(人)</t>
        </is>
      </c>
      <c r="C4" s="4" t="inlineStr">
        <is>
          <t>月人工(元)</t>
        </is>
      </c>
      <c r="D4" s="4" t="inlineStr">
        <is>
          <t>月固定成本(元)</t>
        </is>
      </c>
      <c r="E4" s="4" t="inlineStr">
        <is>
          <t>目标</t>
        </is>
      </c>
      <c r="F4" s="4" t="inlineStr">
        <is>
          <t>目标净利(元)</t>
        </is>
      </c>
      <c r="G4" s="4" t="inlineStr">
        <is>
          <t>原表月营业额</t>
        </is>
      </c>
      <c r="H4" s="4" t="inlineStr">
        <is>
          <t>复算月营业额</t>
        </is>
      </c>
      <c r="I4" s="4" t="inlineStr">
        <is>
          <t>差额</t>
        </is>
      </c>
      <c r="J4" s="4" t="inlineStr">
        <is>
          <t>原表日碗数</t>
        </is>
      </c>
      <c r="K4" s="4" t="inlineStr">
        <is>
          <t>复算日碗数</t>
        </is>
      </c>
    </row>
    <row r="5">
      <c r="A5" s="10" t="n">
        <v>3000</v>
      </c>
      <c r="B5" s="11" t="n">
        <v>2</v>
      </c>
      <c r="C5" s="10">
        <f>B5*4500</f>
        <v>9000.0</v>
      </c>
      <c r="D5" s="10">
        <f>A5+C5</f>
        <v>12000.0</v>
      </c>
      <c r="E5" s="5" t="inlineStr">
        <is>
          <t>保本</t>
        </is>
      </c>
      <c r="F5" s="10" t="n">
        <v>0</v>
      </c>
      <c r="G5" s="10" t="n">
        <v>27907</v>
      </c>
      <c r="H5" s="12">
        <f>ROUND((D5+F5)/0.43,0)</f>
        <v>27907.0</v>
      </c>
      <c r="I5" s="10">
        <f>H5-G5</f>
        <v>0.0</v>
      </c>
      <c r="J5" s="11" t="n">
        <v>78</v>
      </c>
      <c r="K5" s="11">
        <f>ROUNDUP(H5/12/30,0)</f>
        <v>78.0</v>
      </c>
    </row>
    <row r="6">
      <c r="A6" s="10" t="n">
        <v>3000</v>
      </c>
      <c r="B6" s="11" t="n">
        <v>2</v>
      </c>
      <c r="C6" s="10">
        <f>B6*4500</f>
        <v>9000.0</v>
      </c>
      <c r="D6" s="10">
        <f>A6+C6</f>
        <v>12000.0</v>
      </c>
      <c r="E6" s="5" t="inlineStr">
        <is>
          <t>盈利1万</t>
        </is>
      </c>
      <c r="F6" s="10" t="n">
        <v>10000</v>
      </c>
      <c r="G6" s="10" t="n">
        <v>51163</v>
      </c>
      <c r="H6" s="12">
        <f>ROUND((D6+F6)/0.43,0)</f>
        <v>51163.0</v>
      </c>
      <c r="I6" s="10">
        <f>H6-G6</f>
        <v>0.0</v>
      </c>
      <c r="J6" s="11" t="n">
        <v>143</v>
      </c>
      <c r="K6" s="11">
        <f>ROUNDUP(H6/12/30,0)</f>
        <v>143.0</v>
      </c>
    </row>
    <row r="7">
      <c r="A7" s="10" t="n">
        <v>3000</v>
      </c>
      <c r="B7" s="11" t="n">
        <v>2</v>
      </c>
      <c r="C7" s="10">
        <f>B7*4500</f>
        <v>9000.0</v>
      </c>
      <c r="D7" s="10">
        <f>A7+C7</f>
        <v>12000.0</v>
      </c>
      <c r="E7" s="5" t="inlineStr">
        <is>
          <t>盈利1.5万</t>
        </is>
      </c>
      <c r="F7" s="10" t="n">
        <v>15000</v>
      </c>
      <c r="G7" s="10" t="n">
        <v>62791</v>
      </c>
      <c r="H7" s="12">
        <f>ROUND((D7+F7)/0.43,0)</f>
        <v>62791.0</v>
      </c>
      <c r="I7" s="10">
        <f>H7-G7</f>
        <v>0.0</v>
      </c>
      <c r="J7" s="11" t="n">
        <v>175</v>
      </c>
      <c r="K7" s="11">
        <f>ROUNDUP(H7/12/30,0)</f>
        <v>175.0</v>
      </c>
    </row>
    <row r="8">
      <c r="A8" s="10" t="n">
        <v>3000</v>
      </c>
      <c r="B8" s="11" t="n">
        <v>3</v>
      </c>
      <c r="C8" s="10">
        <f>B8*4500</f>
        <v>13500.0</v>
      </c>
      <c r="D8" s="10">
        <f>A8+C8</f>
        <v>16500.0</v>
      </c>
      <c r="E8" s="5" t="inlineStr">
        <is>
          <t>保本</t>
        </is>
      </c>
      <c r="F8" s="10" t="n">
        <v>0</v>
      </c>
      <c r="G8" s="10" t="n">
        <v>38372</v>
      </c>
      <c r="H8" s="12">
        <f>ROUND((D8+F8)/0.43,0)</f>
        <v>38372.0</v>
      </c>
      <c r="I8" s="10">
        <f>H8-G8</f>
        <v>0.0</v>
      </c>
      <c r="J8" s="11" t="n">
        <v>107</v>
      </c>
      <c r="K8" s="11">
        <f>ROUNDUP(H8/12/30,0)</f>
        <v>107.0</v>
      </c>
    </row>
    <row r="9">
      <c r="A9" s="10" t="n">
        <v>3000</v>
      </c>
      <c r="B9" s="11" t="n">
        <v>3</v>
      </c>
      <c r="C9" s="10">
        <f>B9*4500</f>
        <v>13500.0</v>
      </c>
      <c r="D9" s="10">
        <f>A9+C9</f>
        <v>16500.0</v>
      </c>
      <c r="E9" s="5" t="inlineStr">
        <is>
          <t>盈利1万</t>
        </is>
      </c>
      <c r="F9" s="10" t="n">
        <v>10000</v>
      </c>
      <c r="G9" s="10" t="n">
        <v>61628</v>
      </c>
      <c r="H9" s="12">
        <f>ROUND((D9+F9)/0.43,0)</f>
        <v>61628.0</v>
      </c>
      <c r="I9" s="10">
        <f>H9-G9</f>
        <v>0.0</v>
      </c>
      <c r="J9" s="11" t="n">
        <v>172</v>
      </c>
      <c r="K9" s="11">
        <f>ROUNDUP(H9/12/30,0)</f>
        <v>172.0</v>
      </c>
    </row>
    <row r="10">
      <c r="A10" s="10" t="n">
        <v>3000</v>
      </c>
      <c r="B10" s="11" t="n">
        <v>3</v>
      </c>
      <c r="C10" s="10">
        <f>B10*4500</f>
        <v>13500.0</v>
      </c>
      <c r="D10" s="10">
        <f>A10+C10</f>
        <v>16500.0</v>
      </c>
      <c r="E10" s="5" t="inlineStr">
        <is>
          <t>盈利1.5万</t>
        </is>
      </c>
      <c r="F10" s="10" t="n">
        <v>15000</v>
      </c>
      <c r="G10" s="10" t="n">
        <v>73256</v>
      </c>
      <c r="H10" s="12">
        <f>ROUND((D10+F10)/0.43,0)</f>
        <v>73256.0</v>
      </c>
      <c r="I10" s="10">
        <f>H10-G10</f>
        <v>0.0</v>
      </c>
      <c r="J10" s="11" t="n">
        <v>204</v>
      </c>
      <c r="K10" s="11">
        <f>ROUNDUP(H10/12/30,0)</f>
        <v>204.0</v>
      </c>
    </row>
    <row r="11">
      <c r="A11" s="10" t="n">
        <v>4000</v>
      </c>
      <c r="B11" s="11" t="n">
        <v>2</v>
      </c>
      <c r="C11" s="10">
        <f>B11*4500</f>
        <v>9000.0</v>
      </c>
      <c r="D11" s="10">
        <f>A11+C11</f>
        <v>13000.0</v>
      </c>
      <c r="E11" s="5" t="inlineStr">
        <is>
          <t>保本</t>
        </is>
      </c>
      <c r="F11" s="10" t="n">
        <v>0</v>
      </c>
      <c r="G11" s="10" t="n">
        <v>30233</v>
      </c>
      <c r="H11" s="12">
        <f>ROUND((D11+F11)/0.43,0)</f>
        <v>30233.0</v>
      </c>
      <c r="I11" s="10">
        <f>H11-G11</f>
        <v>0.0</v>
      </c>
      <c r="J11" s="11" t="n">
        <v>84</v>
      </c>
      <c r="K11" s="11">
        <f>ROUNDUP(H11/12/30,0)</f>
        <v>84.0</v>
      </c>
    </row>
    <row r="12">
      <c r="A12" s="10" t="n">
        <v>4000</v>
      </c>
      <c r="B12" s="11" t="n">
        <v>2</v>
      </c>
      <c r="C12" s="10">
        <f>B12*4500</f>
        <v>9000.0</v>
      </c>
      <c r="D12" s="10">
        <f>A12+C12</f>
        <v>13000.0</v>
      </c>
      <c r="E12" s="5" t="inlineStr">
        <is>
          <t>盈利1万</t>
        </is>
      </c>
      <c r="F12" s="10" t="n">
        <v>10000</v>
      </c>
      <c r="G12" s="10" t="n">
        <v>53488</v>
      </c>
      <c r="H12" s="12">
        <f>ROUND((D12+F12)/0.43,0)</f>
        <v>53488.0</v>
      </c>
      <c r="I12" s="10">
        <f>H12-G12</f>
        <v>0.0</v>
      </c>
      <c r="J12" s="11" t="n">
        <v>149</v>
      </c>
      <c r="K12" s="11">
        <f>ROUNDUP(H12/12/30,0)</f>
        <v>149.0</v>
      </c>
    </row>
    <row r="13">
      <c r="A13" s="10" t="n">
        <v>4000</v>
      </c>
      <c r="B13" s="11" t="n">
        <v>2</v>
      </c>
      <c r="C13" s="10">
        <f>B13*4500</f>
        <v>9000.0</v>
      </c>
      <c r="D13" s="10">
        <f>A13+C13</f>
        <v>13000.0</v>
      </c>
      <c r="E13" s="5" t="inlineStr">
        <is>
          <t>盈利1.5万</t>
        </is>
      </c>
      <c r="F13" s="10" t="n">
        <v>15000</v>
      </c>
      <c r="G13" s="10" t="n">
        <v>65116</v>
      </c>
      <c r="H13" s="12">
        <f>ROUND((D13+F13)/0.43,0)</f>
        <v>65116.0</v>
      </c>
      <c r="I13" s="10">
        <f>H13-G13</f>
        <v>0.0</v>
      </c>
      <c r="J13" s="11" t="n">
        <v>181</v>
      </c>
      <c r="K13" s="11">
        <f>ROUNDUP(H13/12/30,0)</f>
        <v>181.0</v>
      </c>
    </row>
    <row r="14">
      <c r="A14" s="10" t="n">
        <v>4000</v>
      </c>
      <c r="B14" s="11" t="n">
        <v>3</v>
      </c>
      <c r="C14" s="10">
        <f>B14*4500</f>
        <v>13500.0</v>
      </c>
      <c r="D14" s="10">
        <f>A14+C14</f>
        <v>17500.0</v>
      </c>
      <c r="E14" s="5" t="inlineStr">
        <is>
          <t>保本</t>
        </is>
      </c>
      <c r="F14" s="10" t="n">
        <v>0</v>
      </c>
      <c r="G14" s="10" t="n">
        <v>40698</v>
      </c>
      <c r="H14" s="12">
        <f>ROUND((D14+F14)/0.43,0)</f>
        <v>40698.0</v>
      </c>
      <c r="I14" s="10">
        <f>H14-G14</f>
        <v>0.0</v>
      </c>
      <c r="J14" s="11" t="n">
        <v>114</v>
      </c>
      <c r="K14" s="11">
        <f>ROUNDUP(H14/12/30,0)</f>
        <v>114.0</v>
      </c>
    </row>
    <row r="15">
      <c r="A15" s="10" t="n">
        <v>4000</v>
      </c>
      <c r="B15" s="11" t="n">
        <v>3</v>
      </c>
      <c r="C15" s="10">
        <f>B15*4500</f>
        <v>13500.0</v>
      </c>
      <c r="D15" s="10">
        <f>A15+C15</f>
        <v>17500.0</v>
      </c>
      <c r="E15" s="5" t="inlineStr">
        <is>
          <t>盈利1万</t>
        </is>
      </c>
      <c r="F15" s="10" t="n">
        <v>10000</v>
      </c>
      <c r="G15" s="10" t="n">
        <v>63953</v>
      </c>
      <c r="H15" s="12">
        <f>ROUND((D15+F15)/0.43,0)</f>
        <v>63953.0</v>
      </c>
      <c r="I15" s="10">
        <f>H15-G15</f>
        <v>0.0</v>
      </c>
      <c r="J15" s="11" t="n">
        <v>178</v>
      </c>
      <c r="K15" s="11">
        <f>ROUNDUP(H15/12/30,0)</f>
        <v>178.0</v>
      </c>
    </row>
    <row r="16">
      <c r="A16" s="10" t="n">
        <v>4000</v>
      </c>
      <c r="B16" s="11" t="n">
        <v>3</v>
      </c>
      <c r="C16" s="10">
        <f>B16*4500</f>
        <v>13500.0</v>
      </c>
      <c r="D16" s="10">
        <f>A16+C16</f>
        <v>17500.0</v>
      </c>
      <c r="E16" s="5" t="inlineStr">
        <is>
          <t>盈利1.5万</t>
        </is>
      </c>
      <c r="F16" s="10" t="n">
        <v>15000</v>
      </c>
      <c r="G16" s="10" t="n">
        <v>75581</v>
      </c>
      <c r="H16" s="12">
        <f>ROUND((D16+F16)/0.43,0)</f>
        <v>75581.0</v>
      </c>
      <c r="I16" s="10">
        <f>H16-G16</f>
        <v>0.0</v>
      </c>
      <c r="J16" s="11" t="n">
        <v>210</v>
      </c>
      <c r="K16" s="11">
        <f>ROUNDUP(H16/12/30,0)</f>
        <v>210.0</v>
      </c>
    </row>
    <row r="17">
      <c r="A17" s="10" t="n">
        <v>5000</v>
      </c>
      <c r="B17" s="11" t="n">
        <v>2</v>
      </c>
      <c r="C17" s="10">
        <f>B17*4500</f>
        <v>9000.0</v>
      </c>
      <c r="D17" s="10">
        <f>A17+C17</f>
        <v>14000.0</v>
      </c>
      <c r="E17" s="5" t="inlineStr">
        <is>
          <t>保本</t>
        </is>
      </c>
      <c r="F17" s="10" t="n">
        <v>0</v>
      </c>
      <c r="G17" s="10" t="n">
        <v>32558</v>
      </c>
      <c r="H17" s="12">
        <f>ROUND((D17+F17)/0.43,0)</f>
        <v>32558.0</v>
      </c>
      <c r="I17" s="10">
        <f>H17-G17</f>
        <v>0.0</v>
      </c>
      <c r="J17" s="11" t="n">
        <v>91</v>
      </c>
      <c r="K17" s="11">
        <f>ROUNDUP(H17/12/30,0)</f>
        <v>91.0</v>
      </c>
    </row>
    <row r="18">
      <c r="A18" s="10" t="n">
        <v>5000</v>
      </c>
      <c r="B18" s="11" t="n">
        <v>2</v>
      </c>
      <c r="C18" s="10">
        <f>B18*4500</f>
        <v>9000.0</v>
      </c>
      <c r="D18" s="10">
        <f>A18+C18</f>
        <v>14000.0</v>
      </c>
      <c r="E18" s="5" t="inlineStr">
        <is>
          <t>盈利1万</t>
        </is>
      </c>
      <c r="F18" s="10" t="n">
        <v>10000</v>
      </c>
      <c r="G18" s="10" t="n">
        <v>55814</v>
      </c>
      <c r="H18" s="12">
        <f>ROUND((D18+F18)/0.43,0)</f>
        <v>55814.0</v>
      </c>
      <c r="I18" s="10">
        <f>H18-G18</f>
        <v>0.0</v>
      </c>
      <c r="J18" s="11" t="n">
        <v>156</v>
      </c>
      <c r="K18" s="11">
        <f>ROUNDUP(H18/12/30,0)</f>
        <v>156.0</v>
      </c>
    </row>
    <row r="19">
      <c r="A19" s="10" t="n">
        <v>5000</v>
      </c>
      <c r="B19" s="11" t="n">
        <v>2</v>
      </c>
      <c r="C19" s="10">
        <f>B19*4500</f>
        <v>9000.0</v>
      </c>
      <c r="D19" s="10">
        <f>A19+C19</f>
        <v>14000.0</v>
      </c>
      <c r="E19" s="5" t="inlineStr">
        <is>
          <t>盈利1.5万</t>
        </is>
      </c>
      <c r="F19" s="10" t="n">
        <v>15000</v>
      </c>
      <c r="G19" s="10" t="n">
        <v>67442</v>
      </c>
      <c r="H19" s="12">
        <f>ROUND((D19+F19)/0.43,0)</f>
        <v>67442.0</v>
      </c>
      <c r="I19" s="10">
        <f>H19-G19</f>
        <v>0.0</v>
      </c>
      <c r="J19" s="11" t="n">
        <v>188</v>
      </c>
      <c r="K19" s="11">
        <f>ROUNDUP(H19/12/30,0)</f>
        <v>188.0</v>
      </c>
    </row>
    <row r="20">
      <c r="A20" s="10" t="n">
        <v>5000</v>
      </c>
      <c r="B20" s="11" t="n">
        <v>3</v>
      </c>
      <c r="C20" s="10">
        <f>B20*4500</f>
        <v>13500.0</v>
      </c>
      <c r="D20" s="10">
        <f>A20+C20</f>
        <v>18500.0</v>
      </c>
      <c r="E20" s="5" t="inlineStr">
        <is>
          <t>保本</t>
        </is>
      </c>
      <c r="F20" s="10" t="n">
        <v>0</v>
      </c>
      <c r="G20" s="10" t="n">
        <v>43023</v>
      </c>
      <c r="H20" s="12">
        <f>ROUND((D20+F20)/0.43,0)</f>
        <v>43023.0</v>
      </c>
      <c r="I20" s="10">
        <f>H20-G20</f>
        <v>0.0</v>
      </c>
      <c r="J20" s="11" t="n">
        <v>120</v>
      </c>
      <c r="K20" s="11">
        <f>ROUNDUP(H20/12/30,0)</f>
        <v>120.0</v>
      </c>
    </row>
    <row r="21">
      <c r="A21" s="10" t="n">
        <v>5000</v>
      </c>
      <c r="B21" s="11" t="n">
        <v>3</v>
      </c>
      <c r="C21" s="10">
        <f>B21*4500</f>
        <v>13500.0</v>
      </c>
      <c r="D21" s="10">
        <f>A21+C21</f>
        <v>18500.0</v>
      </c>
      <c r="E21" s="5" t="inlineStr">
        <is>
          <t>盈利1万</t>
        </is>
      </c>
      <c r="F21" s="10" t="n">
        <v>10000</v>
      </c>
      <c r="G21" s="10" t="n">
        <v>66279</v>
      </c>
      <c r="H21" s="12">
        <f>ROUND((D21+F21)/0.43,0)</f>
        <v>66279.0</v>
      </c>
      <c r="I21" s="10">
        <f>H21-G21</f>
        <v>0.0</v>
      </c>
      <c r="J21" s="11" t="n">
        <v>185</v>
      </c>
      <c r="K21" s="11">
        <f>ROUNDUP(H21/12/30,0)</f>
        <v>185.0</v>
      </c>
    </row>
    <row r="22">
      <c r="A22" s="10" t="n">
        <v>5000</v>
      </c>
      <c r="B22" s="11" t="n">
        <v>3</v>
      </c>
      <c r="C22" s="10">
        <f>B22*4500</f>
        <v>13500.0</v>
      </c>
      <c r="D22" s="10">
        <f>A22+C22</f>
        <v>18500.0</v>
      </c>
      <c r="E22" s="5" t="inlineStr">
        <is>
          <t>盈利1.5万</t>
        </is>
      </c>
      <c r="F22" s="10" t="n">
        <v>15000</v>
      </c>
      <c r="G22" s="10" t="n">
        <v>77907</v>
      </c>
      <c r="H22" s="12">
        <f>ROUND((D22+F22)/0.43,0)</f>
        <v>77907.0</v>
      </c>
      <c r="I22" s="10">
        <f>H22-G22</f>
        <v>0.0</v>
      </c>
      <c r="J22" s="11" t="n">
        <v>217</v>
      </c>
      <c r="K22" s="11">
        <f>ROUNDUP(H22/12/30,0)</f>
        <v>217.0</v>
      </c>
    </row>
    <row r="23">
      <c r="A23" s="10" t="n">
        <v>6000</v>
      </c>
      <c r="B23" s="11" t="n">
        <v>2</v>
      </c>
      <c r="C23" s="10">
        <f>B23*4500</f>
        <v>9000.0</v>
      </c>
      <c r="D23" s="10">
        <f>A23+C23</f>
        <v>15000.0</v>
      </c>
      <c r="E23" s="5" t="inlineStr">
        <is>
          <t>保本</t>
        </is>
      </c>
      <c r="F23" s="10" t="n">
        <v>0</v>
      </c>
      <c r="G23" s="10" t="n">
        <v>34884</v>
      </c>
      <c r="H23" s="12">
        <f>ROUND((D23+F23)/0.43,0)</f>
        <v>34884.0</v>
      </c>
      <c r="I23" s="10">
        <f>H23-G23</f>
        <v>0.0</v>
      </c>
      <c r="J23" s="11" t="n">
        <v>97</v>
      </c>
      <c r="K23" s="11">
        <f>ROUNDUP(H23/12/30,0)</f>
        <v>97.0</v>
      </c>
    </row>
    <row r="24">
      <c r="A24" s="10" t="n">
        <v>6000</v>
      </c>
      <c r="B24" s="11" t="n">
        <v>2</v>
      </c>
      <c r="C24" s="10">
        <f>B24*4500</f>
        <v>9000.0</v>
      </c>
      <c r="D24" s="10">
        <f>A24+C24</f>
        <v>15000.0</v>
      </c>
      <c r="E24" s="5" t="inlineStr">
        <is>
          <t>盈利1万</t>
        </is>
      </c>
      <c r="F24" s="10" t="n">
        <v>10000</v>
      </c>
      <c r="G24" s="10" t="n">
        <v>58140</v>
      </c>
      <c r="H24" s="12">
        <f>ROUND((D24+F24)/0.43,0)</f>
        <v>58140.0</v>
      </c>
      <c r="I24" s="10">
        <f>H24-G24</f>
        <v>0.0</v>
      </c>
      <c r="J24" s="11" t="n">
        <v>162</v>
      </c>
      <c r="K24" s="11">
        <f>ROUNDUP(H24/12/30,0)</f>
        <v>162.0</v>
      </c>
    </row>
    <row r="25">
      <c r="A25" s="10" t="n">
        <v>6000</v>
      </c>
      <c r="B25" s="11" t="n">
        <v>2</v>
      </c>
      <c r="C25" s="10">
        <f>B25*4500</f>
        <v>9000.0</v>
      </c>
      <c r="D25" s="10">
        <f>A25+C25</f>
        <v>15000.0</v>
      </c>
      <c r="E25" s="5" t="inlineStr">
        <is>
          <t>盈利1.5万</t>
        </is>
      </c>
      <c r="F25" s="10" t="n">
        <v>15000</v>
      </c>
      <c r="G25" s="10" t="n">
        <v>69767</v>
      </c>
      <c r="H25" s="12">
        <f>ROUND((D25+F25)/0.43,0)</f>
        <v>69767.0</v>
      </c>
      <c r="I25" s="10">
        <f>H25-G25</f>
        <v>0.0</v>
      </c>
      <c r="J25" s="11" t="n">
        <v>194</v>
      </c>
      <c r="K25" s="11">
        <f>ROUNDUP(H25/12/30,0)</f>
        <v>194.0</v>
      </c>
    </row>
    <row r="26">
      <c r="A26" s="10" t="n">
        <v>6000</v>
      </c>
      <c r="B26" s="11" t="n">
        <v>3</v>
      </c>
      <c r="C26" s="10">
        <f>B26*4500</f>
        <v>13500.0</v>
      </c>
      <c r="D26" s="10">
        <f>A26+C26</f>
        <v>19500.0</v>
      </c>
      <c r="E26" s="5" t="inlineStr">
        <is>
          <t>保本</t>
        </is>
      </c>
      <c r="F26" s="10" t="n">
        <v>0</v>
      </c>
      <c r="G26" s="10" t="n">
        <v>45349</v>
      </c>
      <c r="H26" s="12">
        <f>ROUND((D26+F26)/0.43,0)</f>
        <v>45349.0</v>
      </c>
      <c r="I26" s="10">
        <f>H26-G26</f>
        <v>0.0</v>
      </c>
      <c r="J26" s="11" t="n">
        <v>126</v>
      </c>
      <c r="K26" s="11">
        <f>ROUNDUP(H26/12/30,0)</f>
        <v>126.0</v>
      </c>
    </row>
    <row r="27">
      <c r="A27" s="10" t="n">
        <v>6000</v>
      </c>
      <c r="B27" s="11" t="n">
        <v>3</v>
      </c>
      <c r="C27" s="10">
        <f>B27*4500</f>
        <v>13500.0</v>
      </c>
      <c r="D27" s="10">
        <f>A27+C27</f>
        <v>19500.0</v>
      </c>
      <c r="E27" s="5" t="inlineStr">
        <is>
          <t>盈利1万</t>
        </is>
      </c>
      <c r="F27" s="10" t="n">
        <v>10000</v>
      </c>
      <c r="G27" s="10" t="n">
        <v>68605</v>
      </c>
      <c r="H27" s="12">
        <f>ROUND((D27+F27)/0.43,0)</f>
        <v>68605.0</v>
      </c>
      <c r="I27" s="10">
        <f>H27-G27</f>
        <v>0.0</v>
      </c>
      <c r="J27" s="11" t="n">
        <v>191</v>
      </c>
      <c r="K27" s="11">
        <f>ROUNDUP(H27/12/30,0)</f>
        <v>191.0</v>
      </c>
    </row>
    <row r="28">
      <c r="A28" s="10" t="n">
        <v>6000</v>
      </c>
      <c r="B28" s="11" t="n">
        <v>3</v>
      </c>
      <c r="C28" s="10">
        <f>B28*4500</f>
        <v>13500.0</v>
      </c>
      <c r="D28" s="10">
        <f>A28+C28</f>
        <v>19500.0</v>
      </c>
      <c r="E28" s="5" t="inlineStr">
        <is>
          <t>盈利1.5万</t>
        </is>
      </c>
      <c r="F28" s="10" t="n">
        <v>15000</v>
      </c>
      <c r="G28" s="10" t="n">
        <v>80233</v>
      </c>
      <c r="H28" s="12">
        <f>ROUND((D28+F28)/0.43,0)</f>
        <v>80233.0</v>
      </c>
      <c r="I28" s="10">
        <f>H28-G28</f>
        <v>0.0</v>
      </c>
      <c r="J28" s="11" t="n">
        <v>223</v>
      </c>
      <c r="K28" s="11">
        <f>ROUNDUP(H28/12/30,0)</f>
        <v>223.0</v>
      </c>
    </row>
    <row r="29">
      <c r="A29" s="10" t="n">
        <v>7000</v>
      </c>
      <c r="B29" s="11" t="n">
        <v>2</v>
      </c>
      <c r="C29" s="10">
        <f>B29*4500</f>
        <v>9000.0</v>
      </c>
      <c r="D29" s="10">
        <f>A29+C29</f>
        <v>16000.0</v>
      </c>
      <c r="E29" s="5" t="inlineStr">
        <is>
          <t>保本</t>
        </is>
      </c>
      <c r="F29" s="10" t="n">
        <v>0</v>
      </c>
      <c r="G29" s="10" t="n">
        <v>37209</v>
      </c>
      <c r="H29" s="12">
        <f>ROUND((D29+F29)/0.43,0)</f>
        <v>37209.0</v>
      </c>
      <c r="I29" s="10">
        <f>H29-G29</f>
        <v>0.0</v>
      </c>
      <c r="J29" s="11" t="n">
        <v>104</v>
      </c>
      <c r="K29" s="11">
        <f>ROUNDUP(H29/12/30,0)</f>
        <v>104.0</v>
      </c>
    </row>
    <row r="30">
      <c r="A30" s="10" t="n">
        <v>7000</v>
      </c>
      <c r="B30" s="11" t="n">
        <v>2</v>
      </c>
      <c r="C30" s="10">
        <f>B30*4500</f>
        <v>9000.0</v>
      </c>
      <c r="D30" s="10">
        <f>A30+C30</f>
        <v>16000.0</v>
      </c>
      <c r="E30" s="5" t="inlineStr">
        <is>
          <t>盈利1万</t>
        </is>
      </c>
      <c r="F30" s="10" t="n">
        <v>10000</v>
      </c>
      <c r="G30" s="10" t="n">
        <v>60465</v>
      </c>
      <c r="H30" s="12">
        <f>ROUND((D30+F30)/0.43,0)</f>
        <v>60465.0</v>
      </c>
      <c r="I30" s="10">
        <f>H30-G30</f>
        <v>0.0</v>
      </c>
      <c r="J30" s="11" t="n">
        <v>168</v>
      </c>
      <c r="K30" s="11">
        <f>ROUNDUP(H30/12/30,0)</f>
        <v>168.0</v>
      </c>
    </row>
    <row r="31">
      <c r="A31" s="10" t="n">
        <v>7000</v>
      </c>
      <c r="B31" s="11" t="n">
        <v>2</v>
      </c>
      <c r="C31" s="10">
        <f>B31*4500</f>
        <v>9000.0</v>
      </c>
      <c r="D31" s="10">
        <f>A31+C31</f>
        <v>16000.0</v>
      </c>
      <c r="E31" s="5" t="inlineStr">
        <is>
          <t>盈利1.5万</t>
        </is>
      </c>
      <c r="F31" s="10" t="n">
        <v>15000</v>
      </c>
      <c r="G31" s="10" t="n">
        <v>72093</v>
      </c>
      <c r="H31" s="12">
        <f>ROUND((D31+F31)/0.43,0)</f>
        <v>72093.0</v>
      </c>
      <c r="I31" s="10">
        <f>H31-G31</f>
        <v>0.0</v>
      </c>
      <c r="J31" s="11" t="n">
        <v>201</v>
      </c>
      <c r="K31" s="11">
        <f>ROUNDUP(H31/12/30,0)</f>
        <v>201.0</v>
      </c>
    </row>
    <row r="32">
      <c r="A32" s="10" t="n">
        <v>7000</v>
      </c>
      <c r="B32" s="11" t="n">
        <v>3</v>
      </c>
      <c r="C32" s="10">
        <f>B32*4500</f>
        <v>13500.0</v>
      </c>
      <c r="D32" s="10">
        <f>A32+C32</f>
        <v>20500.0</v>
      </c>
      <c r="E32" s="5" t="inlineStr">
        <is>
          <t>保本</t>
        </is>
      </c>
      <c r="F32" s="10" t="n">
        <v>0</v>
      </c>
      <c r="G32" s="10" t="n">
        <v>47674</v>
      </c>
      <c r="H32" s="12">
        <f>ROUND((D32+F32)/0.43,0)</f>
        <v>47674.0</v>
      </c>
      <c r="I32" s="10">
        <f>H32-G32</f>
        <v>0.0</v>
      </c>
      <c r="J32" s="11" t="n">
        <v>133</v>
      </c>
      <c r="K32" s="11">
        <f>ROUNDUP(H32/12/30,0)</f>
        <v>133.0</v>
      </c>
    </row>
    <row r="33">
      <c r="A33" s="10" t="n">
        <v>7000</v>
      </c>
      <c r="B33" s="11" t="n">
        <v>3</v>
      </c>
      <c r="C33" s="10">
        <f>B33*4500</f>
        <v>13500.0</v>
      </c>
      <c r="D33" s="10">
        <f>A33+C33</f>
        <v>20500.0</v>
      </c>
      <c r="E33" s="5" t="inlineStr">
        <is>
          <t>盈利1万</t>
        </is>
      </c>
      <c r="F33" s="10" t="n">
        <v>10000</v>
      </c>
      <c r="G33" s="10" t="n">
        <v>70930</v>
      </c>
      <c r="H33" s="12">
        <f>ROUND((D33+F33)/0.43,0)</f>
        <v>70930.0</v>
      </c>
      <c r="I33" s="10">
        <f>H33-G33</f>
        <v>0.0</v>
      </c>
      <c r="J33" s="11" t="n">
        <v>198</v>
      </c>
      <c r="K33" s="11">
        <f>ROUNDUP(H33/12/30,0)</f>
        <v>198.0</v>
      </c>
    </row>
    <row r="34">
      <c r="A34" s="10" t="n">
        <v>7000</v>
      </c>
      <c r="B34" s="11" t="n">
        <v>3</v>
      </c>
      <c r="C34" s="10">
        <f>B34*4500</f>
        <v>13500.0</v>
      </c>
      <c r="D34" s="10">
        <f>A34+C34</f>
        <v>20500.0</v>
      </c>
      <c r="E34" s="5" t="inlineStr">
        <is>
          <t>盈利1.5万</t>
        </is>
      </c>
      <c r="F34" s="10" t="n">
        <v>15000</v>
      </c>
      <c r="G34" s="10" t="n">
        <v>82558</v>
      </c>
      <c r="H34" s="12">
        <f>ROUND((D34+F34)/0.43,0)</f>
        <v>82558.0</v>
      </c>
      <c r="I34" s="10">
        <f>H34-G34</f>
        <v>0.0</v>
      </c>
      <c r="J34" s="11" t="n">
        <v>230</v>
      </c>
      <c r="K34" s="11">
        <f>ROUNDUP(H34/12/30,0)</f>
        <v>230.0</v>
      </c>
    </row>
    <row r="35">
      <c r="A35" s="10" t="n">
        <v>8000</v>
      </c>
      <c r="B35" s="11" t="n">
        <v>2</v>
      </c>
      <c r="C35" s="10">
        <f>B35*4500</f>
        <v>9000.0</v>
      </c>
      <c r="D35" s="10">
        <f>A35+C35</f>
        <v>17000.0</v>
      </c>
      <c r="E35" s="5" t="inlineStr">
        <is>
          <t>保本</t>
        </is>
      </c>
      <c r="F35" s="10" t="n">
        <v>0</v>
      </c>
      <c r="G35" s="10" t="n">
        <v>39535</v>
      </c>
      <c r="H35" s="12">
        <f>ROUND((D35+F35)/0.43,0)</f>
        <v>39535.0</v>
      </c>
      <c r="I35" s="10">
        <f>H35-G35</f>
        <v>0.0</v>
      </c>
      <c r="J35" s="11" t="n">
        <v>110</v>
      </c>
      <c r="K35" s="11">
        <f>ROUNDUP(H35/12/30,0)</f>
        <v>110.0</v>
      </c>
    </row>
    <row r="36">
      <c r="A36" s="10" t="n">
        <v>8000</v>
      </c>
      <c r="B36" s="11" t="n">
        <v>2</v>
      </c>
      <c r="C36" s="10">
        <f>B36*4500</f>
        <v>9000.0</v>
      </c>
      <c r="D36" s="10">
        <f>A36+C36</f>
        <v>17000.0</v>
      </c>
      <c r="E36" s="5" t="inlineStr">
        <is>
          <t>盈利1万</t>
        </is>
      </c>
      <c r="F36" s="10" t="n">
        <v>10000</v>
      </c>
      <c r="G36" s="10" t="n">
        <v>62791</v>
      </c>
      <c r="H36" s="12">
        <f>ROUND((D36+F36)/0.43,0)</f>
        <v>62791.0</v>
      </c>
      <c r="I36" s="10">
        <f>H36-G36</f>
        <v>0.0</v>
      </c>
      <c r="J36" s="11" t="n">
        <v>175</v>
      </c>
      <c r="K36" s="11">
        <f>ROUNDUP(H36/12/30,0)</f>
        <v>175.0</v>
      </c>
    </row>
    <row r="37">
      <c r="A37" s="10" t="n">
        <v>8000</v>
      </c>
      <c r="B37" s="11" t="n">
        <v>2</v>
      </c>
      <c r="C37" s="10">
        <f>B37*4500</f>
        <v>9000.0</v>
      </c>
      <c r="D37" s="10">
        <f>A37+C37</f>
        <v>17000.0</v>
      </c>
      <c r="E37" s="5" t="inlineStr">
        <is>
          <t>盈利1.5万</t>
        </is>
      </c>
      <c r="F37" s="10" t="n">
        <v>15000</v>
      </c>
      <c r="G37" s="10" t="n">
        <v>74419</v>
      </c>
      <c r="H37" s="12">
        <f>ROUND((D37+F37)/0.43,0)</f>
        <v>74419.0</v>
      </c>
      <c r="I37" s="10">
        <f>H37-G37</f>
        <v>0.0</v>
      </c>
      <c r="J37" s="11" t="n">
        <v>207</v>
      </c>
      <c r="K37" s="11">
        <f>ROUNDUP(H37/12/30,0)</f>
        <v>207.0</v>
      </c>
    </row>
    <row r="38">
      <c r="A38" s="10" t="n">
        <v>8000</v>
      </c>
      <c r="B38" s="11" t="n">
        <v>3</v>
      </c>
      <c r="C38" s="10">
        <f>B38*4500</f>
        <v>13500.0</v>
      </c>
      <c r="D38" s="10">
        <f>A38+C38</f>
        <v>21500.0</v>
      </c>
      <c r="E38" s="5" t="inlineStr">
        <is>
          <t>保本</t>
        </is>
      </c>
      <c r="F38" s="10" t="n">
        <v>0</v>
      </c>
      <c r="G38" s="10" t="n">
        <v>50000</v>
      </c>
      <c r="H38" s="12">
        <f>ROUND((D38+F38)/0.43,0)</f>
        <v>50000.0</v>
      </c>
      <c r="I38" s="10">
        <f>H38-G38</f>
        <v>0.0</v>
      </c>
      <c r="J38" s="11" t="n">
        <v>139</v>
      </c>
      <c r="K38" s="11">
        <f>ROUNDUP(H38/12/30,0)</f>
        <v>139.0</v>
      </c>
    </row>
    <row r="39">
      <c r="A39" s="10" t="n">
        <v>8000</v>
      </c>
      <c r="B39" s="11" t="n">
        <v>3</v>
      </c>
      <c r="C39" s="10">
        <f>B39*4500</f>
        <v>13500.0</v>
      </c>
      <c r="D39" s="10">
        <f>A39+C39</f>
        <v>21500.0</v>
      </c>
      <c r="E39" s="5" t="inlineStr">
        <is>
          <t>盈利1万</t>
        </is>
      </c>
      <c r="F39" s="10" t="n">
        <v>10000</v>
      </c>
      <c r="G39" s="10" t="n">
        <v>73256</v>
      </c>
      <c r="H39" s="12">
        <f>ROUND((D39+F39)/0.43,0)</f>
        <v>73256.0</v>
      </c>
      <c r="I39" s="10">
        <f>H39-G39</f>
        <v>0.0</v>
      </c>
      <c r="J39" s="11" t="n">
        <v>204</v>
      </c>
      <c r="K39" s="11">
        <f>ROUNDUP(H39/12/30,0)</f>
        <v>204.0</v>
      </c>
    </row>
    <row r="40">
      <c r="A40" s="10" t="n">
        <v>8000</v>
      </c>
      <c r="B40" s="11" t="n">
        <v>3</v>
      </c>
      <c r="C40" s="10">
        <f>B40*4500</f>
        <v>13500.0</v>
      </c>
      <c r="D40" s="10">
        <f>A40+C40</f>
        <v>21500.0</v>
      </c>
      <c r="E40" s="5" t="inlineStr">
        <is>
          <t>盈利1.5万</t>
        </is>
      </c>
      <c r="F40" s="10" t="n">
        <v>15000</v>
      </c>
      <c r="G40" s="10" t="n">
        <v>84884</v>
      </c>
      <c r="H40" s="12">
        <f>ROUND((D40+F40)/0.43,0)</f>
        <v>84884.0</v>
      </c>
      <c r="I40" s="10">
        <f>H40-G40</f>
        <v>0.0</v>
      </c>
      <c r="J40" s="11" t="n">
        <v>236</v>
      </c>
      <c r="K40" s="11">
        <f>ROUNDUP(H40/12/30,0)</f>
        <v>236.0</v>
      </c>
    </row>
    <row r="41">
      <c r="A41" s="10" t="n">
        <v>9000</v>
      </c>
      <c r="B41" s="11" t="n">
        <v>2</v>
      </c>
      <c r="C41" s="10">
        <f>B41*4500</f>
        <v>9000.0</v>
      </c>
      <c r="D41" s="10">
        <f>A41+C41</f>
        <v>18000.0</v>
      </c>
      <c r="E41" s="5" t="inlineStr">
        <is>
          <t>保本</t>
        </is>
      </c>
      <c r="F41" s="10" t="n">
        <v>0</v>
      </c>
      <c r="G41" s="10" t="n">
        <v>41860</v>
      </c>
      <c r="H41" s="12">
        <f>ROUND((D41+F41)/0.43,0)</f>
        <v>41860.0</v>
      </c>
      <c r="I41" s="10">
        <f>H41-G41</f>
        <v>0.0</v>
      </c>
      <c r="J41" s="11" t="n">
        <v>117</v>
      </c>
      <c r="K41" s="11">
        <f>ROUNDUP(H41/12/30,0)</f>
        <v>117.0</v>
      </c>
    </row>
    <row r="42">
      <c r="A42" s="10" t="n">
        <v>9000</v>
      </c>
      <c r="B42" s="11" t="n">
        <v>2</v>
      </c>
      <c r="C42" s="10">
        <f>B42*4500</f>
        <v>9000.0</v>
      </c>
      <c r="D42" s="10">
        <f>A42+C42</f>
        <v>18000.0</v>
      </c>
      <c r="E42" s="5" t="inlineStr">
        <is>
          <t>盈利1万</t>
        </is>
      </c>
      <c r="F42" s="10" t="n">
        <v>10000</v>
      </c>
      <c r="G42" s="10" t="n">
        <v>65116</v>
      </c>
      <c r="H42" s="12">
        <f>ROUND((D42+F42)/0.43,0)</f>
        <v>65116.0</v>
      </c>
      <c r="I42" s="10">
        <f>H42-G42</f>
        <v>0.0</v>
      </c>
      <c r="J42" s="11" t="n">
        <v>181</v>
      </c>
      <c r="K42" s="11">
        <f>ROUNDUP(H42/12/30,0)</f>
        <v>181.0</v>
      </c>
    </row>
    <row r="43">
      <c r="A43" s="10" t="n">
        <v>9000</v>
      </c>
      <c r="B43" s="11" t="n">
        <v>2</v>
      </c>
      <c r="C43" s="10">
        <f>B43*4500</f>
        <v>9000.0</v>
      </c>
      <c r="D43" s="10">
        <f>A43+C43</f>
        <v>18000.0</v>
      </c>
      <c r="E43" s="5" t="inlineStr">
        <is>
          <t>盈利1.5万</t>
        </is>
      </c>
      <c r="F43" s="10" t="n">
        <v>15000</v>
      </c>
      <c r="G43" s="10" t="n">
        <v>76744</v>
      </c>
      <c r="H43" s="12">
        <f>ROUND((D43+F43)/0.43,0)</f>
        <v>76744.0</v>
      </c>
      <c r="I43" s="10">
        <f>H43-G43</f>
        <v>0.0</v>
      </c>
      <c r="J43" s="11" t="n">
        <v>214</v>
      </c>
      <c r="K43" s="11">
        <f>ROUNDUP(H43/12/30,0)</f>
        <v>214.0</v>
      </c>
    </row>
    <row r="44">
      <c r="A44" s="10" t="n">
        <v>9000</v>
      </c>
      <c r="B44" s="11" t="n">
        <v>3</v>
      </c>
      <c r="C44" s="10">
        <f>B44*4500</f>
        <v>13500.0</v>
      </c>
      <c r="D44" s="10">
        <f>A44+C44</f>
        <v>22500.0</v>
      </c>
      <c r="E44" s="5" t="inlineStr">
        <is>
          <t>保本</t>
        </is>
      </c>
      <c r="F44" s="10" t="n">
        <v>0</v>
      </c>
      <c r="G44" s="10" t="n">
        <v>52326</v>
      </c>
      <c r="H44" s="12">
        <f>ROUND((D44+F44)/0.43,0)</f>
        <v>52326.0</v>
      </c>
      <c r="I44" s="10">
        <f>H44-G44</f>
        <v>0.0</v>
      </c>
      <c r="J44" s="11" t="n">
        <v>146</v>
      </c>
      <c r="K44" s="11">
        <f>ROUNDUP(H44/12/30,0)</f>
        <v>146.0</v>
      </c>
    </row>
    <row r="45">
      <c r="A45" s="10" t="n">
        <v>9000</v>
      </c>
      <c r="B45" s="11" t="n">
        <v>3</v>
      </c>
      <c r="C45" s="10">
        <f>B45*4500</f>
        <v>13500.0</v>
      </c>
      <c r="D45" s="10">
        <f>A45+C45</f>
        <v>22500.0</v>
      </c>
      <c r="E45" s="5" t="inlineStr">
        <is>
          <t>盈利1万</t>
        </is>
      </c>
      <c r="F45" s="10" t="n">
        <v>10000</v>
      </c>
      <c r="G45" s="10" t="n">
        <v>75581</v>
      </c>
      <c r="H45" s="12">
        <f>ROUND((D45+F45)/0.43,0)</f>
        <v>75581.0</v>
      </c>
      <c r="I45" s="10">
        <f>H45-G45</f>
        <v>0.0</v>
      </c>
      <c r="J45" s="11" t="n">
        <v>210</v>
      </c>
      <c r="K45" s="11">
        <f>ROUNDUP(H45/12/30,0)</f>
        <v>210.0</v>
      </c>
    </row>
    <row r="46">
      <c r="A46" s="10" t="n">
        <v>9000</v>
      </c>
      <c r="B46" s="11" t="n">
        <v>3</v>
      </c>
      <c r="C46" s="10">
        <f>B46*4500</f>
        <v>13500.0</v>
      </c>
      <c r="D46" s="10">
        <f>A46+C46</f>
        <v>22500.0</v>
      </c>
      <c r="E46" s="5" t="inlineStr">
        <is>
          <t>盈利1.5万</t>
        </is>
      </c>
      <c r="F46" s="10" t="n">
        <v>15000</v>
      </c>
      <c r="G46" s="10" t="n">
        <v>87209</v>
      </c>
      <c r="H46" s="12">
        <f>ROUND((D46+F46)/0.43,0)</f>
        <v>87209.0</v>
      </c>
      <c r="I46" s="10">
        <f>H46-G46</f>
        <v>0.0</v>
      </c>
      <c r="J46" s="11" t="n">
        <v>243</v>
      </c>
      <c r="K46" s="11">
        <f>ROUNDUP(H46/12/30,0)</f>
        <v>243.0</v>
      </c>
    </row>
    <row r="47">
      <c r="A47" s="10" t="n">
        <v>10000</v>
      </c>
      <c r="B47" s="11" t="n">
        <v>2</v>
      </c>
      <c r="C47" s="10">
        <f>B47*4500</f>
        <v>9000.0</v>
      </c>
      <c r="D47" s="10">
        <f>A47+C47</f>
        <v>19000.0</v>
      </c>
      <c r="E47" s="5" t="inlineStr">
        <is>
          <t>保本</t>
        </is>
      </c>
      <c r="F47" s="10" t="n">
        <v>0</v>
      </c>
      <c r="G47" s="10" t="n">
        <v>44186</v>
      </c>
      <c r="H47" s="12">
        <f>ROUND((D47+F47)/0.43,0)</f>
        <v>44186.0</v>
      </c>
      <c r="I47" s="10">
        <f>H47-G47</f>
        <v>0.0</v>
      </c>
      <c r="J47" s="11" t="n">
        <v>123</v>
      </c>
      <c r="K47" s="11">
        <f>ROUNDUP(H47/12/30,0)</f>
        <v>123.0</v>
      </c>
    </row>
    <row r="48">
      <c r="A48" s="10" t="n">
        <v>10000</v>
      </c>
      <c r="B48" s="11" t="n">
        <v>2</v>
      </c>
      <c r="C48" s="10">
        <f>B48*4500</f>
        <v>9000.0</v>
      </c>
      <c r="D48" s="10">
        <f>A48+C48</f>
        <v>19000.0</v>
      </c>
      <c r="E48" s="5" t="inlineStr">
        <is>
          <t>盈利1万</t>
        </is>
      </c>
      <c r="F48" s="10" t="n">
        <v>10000</v>
      </c>
      <c r="G48" s="10" t="n">
        <v>67442</v>
      </c>
      <c r="H48" s="12">
        <f>ROUND((D48+F48)/0.43,0)</f>
        <v>67442.0</v>
      </c>
      <c r="I48" s="10">
        <f>H48-G48</f>
        <v>0.0</v>
      </c>
      <c r="J48" s="11" t="n">
        <v>188</v>
      </c>
      <c r="K48" s="11">
        <f>ROUNDUP(H48/12/30,0)</f>
        <v>188.0</v>
      </c>
    </row>
    <row r="49">
      <c r="A49" s="10" t="n">
        <v>10000</v>
      </c>
      <c r="B49" s="11" t="n">
        <v>2</v>
      </c>
      <c r="C49" s="10">
        <f>B49*4500</f>
        <v>9000.0</v>
      </c>
      <c r="D49" s="10">
        <f>A49+C49</f>
        <v>19000.0</v>
      </c>
      <c r="E49" s="5" t="inlineStr">
        <is>
          <t>盈利1.5万</t>
        </is>
      </c>
      <c r="F49" s="10" t="n">
        <v>15000</v>
      </c>
      <c r="G49" s="10" t="n">
        <v>79070</v>
      </c>
      <c r="H49" s="12">
        <f>ROUND((D49+F49)/0.43,0)</f>
        <v>79070.0</v>
      </c>
      <c r="I49" s="10">
        <f>H49-G49</f>
        <v>0.0</v>
      </c>
      <c r="J49" s="11" t="n">
        <v>220</v>
      </c>
      <c r="K49" s="11">
        <f>ROUNDUP(H49/12/30,0)</f>
        <v>220.0</v>
      </c>
    </row>
    <row r="50">
      <c r="A50" s="10" t="n">
        <v>10000</v>
      </c>
      <c r="B50" s="11" t="n">
        <v>3</v>
      </c>
      <c r="C50" s="10">
        <f>B50*4500</f>
        <v>13500.0</v>
      </c>
      <c r="D50" s="10">
        <f>A50+C50</f>
        <v>23500.0</v>
      </c>
      <c r="E50" s="5" t="inlineStr">
        <is>
          <t>保本</t>
        </is>
      </c>
      <c r="F50" s="10" t="n">
        <v>0</v>
      </c>
      <c r="G50" s="10" t="n">
        <v>54651</v>
      </c>
      <c r="H50" s="12">
        <f>ROUND((D50+F50)/0.43,0)</f>
        <v>54651.0</v>
      </c>
      <c r="I50" s="10">
        <f>H50-G50</f>
        <v>0.0</v>
      </c>
      <c r="J50" s="11" t="n">
        <v>152</v>
      </c>
      <c r="K50" s="11">
        <f>ROUNDUP(H50/12/30,0)</f>
        <v>152.0</v>
      </c>
    </row>
    <row r="51">
      <c r="A51" s="10" t="n">
        <v>10000</v>
      </c>
      <c r="B51" s="11" t="n">
        <v>3</v>
      </c>
      <c r="C51" s="10">
        <f>B51*4500</f>
        <v>13500.0</v>
      </c>
      <c r="D51" s="10">
        <f>A51+C51</f>
        <v>23500.0</v>
      </c>
      <c r="E51" s="5" t="inlineStr">
        <is>
          <t>盈利1万</t>
        </is>
      </c>
      <c r="F51" s="10" t="n">
        <v>10000</v>
      </c>
      <c r="G51" s="10" t="n">
        <v>77907</v>
      </c>
      <c r="H51" s="12">
        <f>ROUND((D51+F51)/0.43,0)</f>
        <v>77907.0</v>
      </c>
      <c r="I51" s="10">
        <f>H51-G51</f>
        <v>0.0</v>
      </c>
      <c r="J51" s="11" t="n">
        <v>217</v>
      </c>
      <c r="K51" s="11">
        <f>ROUNDUP(H51/12/30,0)</f>
        <v>217.0</v>
      </c>
    </row>
    <row r="52">
      <c r="A52" s="10" t="n">
        <v>10000</v>
      </c>
      <c r="B52" s="11" t="n">
        <v>3</v>
      </c>
      <c r="C52" s="10">
        <f>B52*4500</f>
        <v>13500.0</v>
      </c>
      <c r="D52" s="10">
        <f>A52+C52</f>
        <v>23500.0</v>
      </c>
      <c r="E52" s="5" t="inlineStr">
        <is>
          <t>盈利1.5万</t>
        </is>
      </c>
      <c r="F52" s="10" t="n">
        <v>15000</v>
      </c>
      <c r="G52" s="10" t="n">
        <v>89535</v>
      </c>
      <c r="H52" s="12">
        <f>ROUND((D52+F52)/0.43,0)</f>
        <v>89535.0</v>
      </c>
      <c r="I52" s="10">
        <f>H52-G52</f>
        <v>0.0</v>
      </c>
      <c r="J52" s="11" t="n">
        <v>249</v>
      </c>
      <c r="K52" s="11">
        <f>ROUNDUP(H52/12/30,0)</f>
        <v>249.0</v>
      </c>
    </row>
    <row r="54">
      <c r="A54" s="2" t="inlineStr">
        <is>
          <t>对上结论（逐格机器复核）：
① 「差额」列应全为 0 —— 说明复算口径与原表逐行一致，模型可被完整复现。
② 原表 A 列面积 20/30/40㎡ 三档，除面积列外其余 14 列 48 行数据逐格完全相同 ⇒ 面积对该表结果零影响。本方案把面积改为「合理性校验 + 坪效输出」，不再参与保本公式（中小餐饮面积确实不直接改变保本营业额）。
③ 原表全表 0 条公式、参数写死在数值里 ⇒ 换业态必须整表重做。本方案改为参数包 + 全公式联动。</t>
        </is>
      </c>
    </row>
    <row r="55"/>
    <row r="56"/>
    <row r="57"/>
    <row r="58"/>
  </sheetData>
  <mergeCells count="3">
    <mergeCell ref="A2:K2"/>
    <mergeCell ref="A1:K1"/>
    <mergeCell ref="A54:K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店算 · 小店决策对比表（小面样例）</dc:title>
  <dcterms:created xmlns:dcterms="http://purl.org/dc/terms/" xmlns:xsi="http://www.w3.org/2001/XMLSchema-instance" xsi:type="dcterms:W3CDTF">2026-10-05T09:40:21Z</dcterms:created>
  <dcterms:modified xmlns:dcterms="http://purl.org/dc/terms/" xmlns:xsi="http://www.w3.org/2001/XMLSchema-instance" xsi:type="dcterms:W3CDTF">2026-10-05T09:40:22Z</dcterms:modified>
</cp:coreProperties>
</file>