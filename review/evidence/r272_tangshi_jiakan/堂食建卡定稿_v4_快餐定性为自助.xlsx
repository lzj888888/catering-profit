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定稿建卡清单" sheetId="1" state="visible" r:id="rId1"/>
    <sheet name="②快餐=自助·定性" sheetId="2" state="visible" r:id="rId2"/>
    <sheet name="③自助成本核算模板" sheetId="3" state="visible" r:id="rId3"/>
    <sheet name="④覆盖率分母三档" sheetId="4" state="visible" r:id="rId4"/>
    <sheet name="⑤业态洞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9" customWidth="1" min="4" max="4"/>
    <col width="7" customWidth="1" min="5" max="5"/>
    <col width="9" customWidth="1" min="6" max="6"/>
    <col width="11" customWidth="1" min="7" max="7"/>
    <col width="9" customWidth="1" min="8" max="8"/>
    <col width="22" customWidth="1" min="9" max="9"/>
    <col width="9" customWidth="1" min="10" max="10"/>
  </cols>
  <sheetData>
    <row r="1" ht="26" customHeight="1">
      <c r="A1" s="1" t="inlineStr">
        <is>
          <t>定稿建卡清单（7 道 · 免费档 20 张卡内 · 剩 13 张）</t>
        </is>
      </c>
    </row>
    <row r="2" ht="22" customHeight="1">
      <c r="A2" s="2" t="inlineStr">
        <is>
          <t>序</t>
        </is>
      </c>
      <c r="B2" s="2" t="inlineStr">
        <is>
          <t>菜名</t>
        </is>
      </c>
      <c r="C2" s="2" t="inlineStr">
        <is>
          <t>销售额(元)</t>
        </is>
      </c>
      <c r="D2" s="2" t="inlineStr">
        <is>
          <t>占总额%</t>
        </is>
      </c>
      <c r="E2" s="2" t="inlineStr">
        <is>
          <t>份数</t>
        </is>
      </c>
      <c r="F2" s="2" t="inlineStr">
        <is>
          <t>售价(元)</t>
        </is>
      </c>
      <c r="G2" s="2" t="inlineStr">
        <is>
          <t>食材成本(元)</t>
        </is>
      </c>
      <c r="H2" s="2" t="inlineStr">
        <is>
          <t>毛利率%</t>
        </is>
      </c>
      <c r="I2" s="2" t="inlineStr">
        <is>
          <t>配方来源</t>
        </is>
      </c>
      <c r="J2" s="2" t="inlineStr">
        <is>
          <t>批次</t>
        </is>
      </c>
    </row>
    <row r="3">
      <c r="A3" s="3" t="n">
        <v>1</v>
      </c>
      <c r="B3" s="3" t="inlineStr">
        <is>
          <t>小面</t>
        </is>
      </c>
      <c r="C3" s="3" t="n">
        <v>1033</v>
      </c>
      <c r="D3" s="3" t="n">
        <v>3.12</v>
      </c>
      <c r="E3" s="3" t="n">
        <v>139</v>
      </c>
      <c r="F3" s="3" t="n">
        <v>7.43</v>
      </c>
      <c r="G3" s="3" t="n">
        <v>2.53</v>
      </c>
      <c r="H3" s="3" t="n">
        <v>65.95999999999999</v>
      </c>
      <c r="I3" s="3" t="inlineStr">
        <is>
          <t>v3·豆包查证·面食口径</t>
        </is>
      </c>
      <c r="J3" s="3" t="inlineStr">
        <is>
          <t>①首批</t>
        </is>
      </c>
    </row>
    <row r="4">
      <c r="A4" s="3" t="n">
        <v>2</v>
      </c>
      <c r="B4" s="3" t="inlineStr">
        <is>
          <t>抄手</t>
        </is>
      </c>
      <c r="C4" s="3" t="n">
        <v>940</v>
      </c>
      <c r="D4" s="3" t="n">
        <v>2.84</v>
      </c>
      <c r="E4" s="3" t="n">
        <v>75</v>
      </c>
      <c r="F4" s="3" t="n">
        <v>12.53</v>
      </c>
      <c r="G4" s="3" t="n">
        <v>6.13</v>
      </c>
      <c r="H4" s="3" t="n">
        <v>51.09</v>
      </c>
      <c r="I4" s="3" t="inlineStr">
        <is>
          <t>v3·豆包查证·面食口径</t>
        </is>
      </c>
      <c r="J4" s="3" t="inlineStr">
        <is>
          <t>①首批</t>
        </is>
      </c>
    </row>
    <row r="5">
      <c r="A5" s="4" t="n">
        <v>3</v>
      </c>
      <c r="B5" s="4" t="inlineStr">
        <is>
          <t>韭叶</t>
        </is>
      </c>
      <c r="C5" s="4" t="n">
        <v>916</v>
      </c>
      <c r="D5" s="4" t="n">
        <v>2.76</v>
      </c>
      <c r="E5" s="4" t="n">
        <v>128</v>
      </c>
      <c r="F5" s="4" t="n">
        <v>7.16</v>
      </c>
      <c r="G5" s="4" t="n">
        <v>4.12</v>
      </c>
      <c r="H5" s="4" t="n">
        <v>42.43</v>
      </c>
      <c r="I5" s="4" t="inlineStr">
        <is>
          <t>v3·豆包查证·面食口径</t>
        </is>
      </c>
      <c r="J5" s="4" t="inlineStr">
        <is>
          <t>①首批</t>
        </is>
      </c>
    </row>
    <row r="6">
      <c r="A6" s="4" t="n">
        <v>4</v>
      </c>
      <c r="B6" s="4" t="inlineStr">
        <is>
          <t>米线</t>
        </is>
      </c>
      <c r="C6" s="4" t="n">
        <v>628</v>
      </c>
      <c r="D6" s="4" t="n">
        <v>1.89</v>
      </c>
      <c r="E6" s="4" t="n">
        <v>88</v>
      </c>
      <c r="F6" s="4" t="n">
        <v>7.14</v>
      </c>
      <c r="G6" s="4" t="n">
        <v>4.08</v>
      </c>
      <c r="H6" s="4" t="n">
        <v>42.83</v>
      </c>
      <c r="I6" s="4" t="inlineStr">
        <is>
          <t>v3·豆包查证·面食口径</t>
        </is>
      </c>
      <c r="J6" s="4" t="inlineStr">
        <is>
          <t>①首批</t>
        </is>
      </c>
    </row>
    <row r="7">
      <c r="A7" s="3" t="n">
        <v>5</v>
      </c>
      <c r="B7" s="3" t="inlineStr">
        <is>
          <t>耙牛肉（半斤）</t>
        </is>
      </c>
      <c r="C7" s="3" t="n">
        <v>412.83</v>
      </c>
      <c r="D7" s="3" t="n">
        <v>1.25</v>
      </c>
      <c r="E7" s="3" t="n">
        <v>13</v>
      </c>
      <c r="F7" s="3" t="n">
        <v>38</v>
      </c>
      <c r="G7" s="3" t="n">
        <v>20.4</v>
      </c>
      <c r="H7" s="3" t="n">
        <v>46.3</v>
      </c>
      <c r="I7" s="3" t="inlineStr">
        <is>
          <t>v2·豆包查证·火锅口径</t>
        </is>
      </c>
      <c r="J7" s="3" t="inlineStr">
        <is>
          <t>①首批</t>
        </is>
      </c>
    </row>
    <row r="8">
      <c r="A8" s="3" t="n">
        <v>6</v>
      </c>
      <c r="B8" s="3" t="inlineStr">
        <is>
          <t>耙牛筋（半斤）</t>
        </is>
      </c>
      <c r="C8" s="3" t="n">
        <v>324.29</v>
      </c>
      <c r="D8" s="3" t="n">
        <v>0.98</v>
      </c>
      <c r="E8" s="3" t="n">
        <v>10</v>
      </c>
      <c r="F8" s="3" t="n">
        <v>38</v>
      </c>
      <c r="G8" s="3" t="n">
        <v>13.44</v>
      </c>
      <c r="H8" s="3" t="n">
        <v>64.59999999999999</v>
      </c>
      <c r="I8" s="3" t="inlineStr">
        <is>
          <t>v2·豆包查证·火锅口径</t>
        </is>
      </c>
      <c r="J8" s="3" t="inlineStr">
        <is>
          <t>①首批</t>
        </is>
      </c>
    </row>
    <row r="9">
      <c r="A9" s="3" t="n">
        <v>7</v>
      </c>
      <c r="B9" s="3" t="inlineStr">
        <is>
          <t>毛血旺</t>
        </is>
      </c>
      <c r="C9" s="3" t="n">
        <v>248</v>
      </c>
      <c r="D9" s="3" t="n">
        <v>0.75</v>
      </c>
      <c r="E9" s="3" t="n">
        <v>6</v>
      </c>
      <c r="F9" s="3" t="n">
        <v>41.33</v>
      </c>
      <c r="G9" s="3" t="n">
        <v>19.64</v>
      </c>
      <c r="H9" s="3" t="n">
        <v>52.48</v>
      </c>
      <c r="I9" s="3" t="inlineStr">
        <is>
          <t>v3·豆包查证·火锅口径</t>
        </is>
      </c>
      <c r="J9" s="3" t="inlineStr">
        <is>
          <t>①首批</t>
        </is>
      </c>
    </row>
    <row r="10">
      <c r="A10" s="5" t="inlineStr"/>
      <c r="B10" s="5" t="inlineStr">
        <is>
          <t>合计（7道）</t>
        </is>
      </c>
      <c r="C10" s="5" t="n">
        <v>4502.12</v>
      </c>
      <c r="D10" s="5" t="n">
        <v>13.58</v>
      </c>
      <c r="E10" s="5" t="n">
        <v>459</v>
      </c>
      <c r="F10" s="5" t="inlineStr"/>
      <c r="G10" s="5" t="inlineStr"/>
      <c r="H10" s="5" t="inlineStr"/>
      <c r="I10" s="5" t="inlineStr"/>
      <c r="J10" s="5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9" customWidth="1" min="4" max="4"/>
    <col width="22" customWidth="1" min="5" max="5"/>
    <col width="14" customWidth="1" min="6" max="6"/>
    <col width="14" customWidth="1" min="7" max="7"/>
  </cols>
  <sheetData>
    <row r="1" ht="26" customHeight="1">
      <c r="A1" s="1" t="inlineStr">
        <is>
          <t>快餐定性：自助价格档位（不是一道菜）→ 不建单品成本卡</t>
        </is>
      </c>
    </row>
    <row r="2" ht="22" customHeight="1">
      <c r="A2" s="2" t="inlineStr">
        <is>
          <t>档位</t>
        </is>
      </c>
      <c r="B2" s="2" t="inlineStr">
        <is>
          <t>份数</t>
        </is>
      </c>
      <c r="C2" s="2" t="inlineStr">
        <is>
          <t>销售额(元)</t>
        </is>
      </c>
      <c r="D2" s="2" t="inlineStr">
        <is>
          <t>单价(元)</t>
        </is>
      </c>
      <c r="E2" s="2" t="inlineStr">
        <is>
          <t>含义（用户确认）</t>
        </is>
      </c>
      <c r="F2" s="2" t="inlineStr">
        <is>
          <t>性质</t>
        </is>
      </c>
      <c r="G2" s="2" t="inlineStr">
        <is>
          <t>建卡决策</t>
        </is>
      </c>
    </row>
    <row r="3">
      <c r="A3" s="6" t="inlineStr">
        <is>
          <t>快餐 15 元</t>
        </is>
      </c>
      <c r="B3" s="6" t="n">
        <v>930</v>
      </c>
      <c r="C3" s="6" t="n">
        <v>13950</v>
      </c>
      <c r="D3" s="6" t="n">
        <v>15</v>
      </c>
      <c r="E3" s="6" t="inlineStr">
        <is>
          <t>正价（随便吃）</t>
        </is>
      </c>
      <c r="F3" s="6" t="inlineStr">
        <is>
          <t>自助·价格档位</t>
        </is>
      </c>
      <c r="G3" s="6" t="inlineStr">
        <is>
          <t>不建单品卡</t>
        </is>
      </c>
    </row>
    <row r="4">
      <c r="A4" s="6" t="inlineStr">
        <is>
          <t>快餐 12 元</t>
        </is>
      </c>
      <c r="B4" s="6" t="inlineStr">
        <is>
          <t>本月未见</t>
        </is>
      </c>
      <c r="C4" s="6" t="inlineStr">
        <is>
          <t>本月未见</t>
        </is>
      </c>
      <c r="D4" s="6" t="n">
        <v>12</v>
      </c>
      <c r="E4" s="6" t="inlineStr">
        <is>
          <t>会员价（随便吃）</t>
        </is>
      </c>
      <c r="F4" s="6" t="inlineStr">
        <is>
          <t>自助·价格档位</t>
        </is>
      </c>
      <c r="G4" s="6" t="inlineStr">
        <is>
          <t>不建单品卡</t>
        </is>
      </c>
    </row>
    <row r="5">
      <c r="A5" s="6" t="inlineStr">
        <is>
          <t>快餐 10 元</t>
        </is>
      </c>
      <c r="B5" s="6" t="n">
        <v>16</v>
      </c>
      <c r="C5" s="6" t="n">
        <v>160</v>
      </c>
      <c r="D5" s="6" t="n">
        <v>10</v>
      </c>
      <c r="E5" s="6" t="inlineStr">
        <is>
          <t>菜少/尾市（随便吃）</t>
        </is>
      </c>
      <c r="F5" s="6" t="inlineStr">
        <is>
          <t>自助·价格档位</t>
        </is>
      </c>
      <c r="G5" s="6" t="inlineStr">
        <is>
          <t>不建单品卡</t>
        </is>
      </c>
    </row>
    <row r="6">
      <c r="A6" s="5" t="inlineStr">
        <is>
          <t>合计（TOP25内）</t>
        </is>
      </c>
      <c r="B6" s="5" t="n">
        <v>946</v>
      </c>
      <c r="C6" s="5" t="n">
        <v>14110</v>
      </c>
      <c r="D6" s="5" t="n">
        <v>14.91</v>
      </c>
      <c r="E6" s="5" t="inlineStr"/>
      <c r="F6" s="5" t="inlineStr">
        <is>
          <t>占总额 42.57%</t>
        </is>
      </c>
      <c r="G6" s="5" t="inlineStr"/>
    </row>
    <row r="8">
      <c r="A8" s="7" t="inlineStr">
        <is>
          <t>定性依据（用户 2026-10-10 确认）</t>
        </is>
      </c>
    </row>
    <row r="9" ht="30" customHeight="1">
      <c r="A9" s="8" t="inlineStr">
        <is>
          <t>1. 快餐 = 自助模式：一份 15 元随便吃；12 元 = 会员价；10 元 = 菜少/尾市降价。</t>
        </is>
      </c>
    </row>
    <row r="10" ht="30" customHeight="1">
      <c r="A10" s="8" t="inlineStr">
        <is>
          <t>2. 所以它不是「一道菜」，是价格档位 —— 无法套用单品成本卡（没有固定配方与克数）。</t>
        </is>
      </c>
    </row>
    <row r="11" ht="30" customHeight="1">
      <c r="A11" s="8" t="inlineStr">
        <is>
          <t>3. 硬塞进成本卡 = 假数据：自助的食材消耗随顾客取量波动，单卡算不出真成本。</t>
        </is>
      </c>
    </row>
    <row r="12" ht="30" customHeight="1">
      <c r="A12" s="8" t="inlineStr">
        <is>
          <t>4. 正确口径 = 自助人均食材成本：该时段自助餐线食材消耗总额 ÷ 就餐份数（见③表模板）。</t>
        </is>
      </c>
    </row>
    <row r="13" ht="30" customHeight="1">
      <c r="A13" s="8" t="inlineStr">
        <is>
          <t>5. 影响：它是全店最大收入项（42.57%），却天然不在单品卡体系内 ⇒ 覆盖率分母必须重算（见④表）。</t>
        </is>
      </c>
    </row>
  </sheetData>
  <mergeCells count="6">
    <mergeCell ref="A13:G13"/>
    <mergeCell ref="A1:G1"/>
    <mergeCell ref="A9:G9"/>
    <mergeCell ref="A12:G12"/>
    <mergeCell ref="A11:G1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46" customWidth="1" min="4" max="4"/>
    <col width="12" customWidth="1" min="5" max="5"/>
  </cols>
  <sheetData>
    <row r="1" ht="26" customHeight="1">
      <c r="A1" s="1" t="inlineStr">
        <is>
          <t>自助快餐成本核算模板（替代单品成本卡 —— 需用户填 A 项）</t>
        </is>
      </c>
    </row>
    <row r="2" ht="22" customHeight="1">
      <c r="A2" s="2" t="inlineStr">
        <is>
          <t>项</t>
        </is>
      </c>
      <c r="B2" s="2" t="inlineStr">
        <is>
          <t>字段</t>
        </is>
      </c>
      <c r="C2" s="2" t="inlineStr">
        <is>
          <t>值</t>
        </is>
      </c>
      <c r="D2" s="2" t="inlineStr">
        <is>
          <t>说明</t>
        </is>
      </c>
      <c r="E2" s="2" t="inlineStr">
        <is>
          <t>来源</t>
        </is>
      </c>
    </row>
    <row r="3">
      <c r="A3" s="3" t="inlineStr">
        <is>
          <t>A</t>
        </is>
      </c>
      <c r="B3" s="3" t="inlineStr">
        <is>
          <t>本月自助餐线食材消耗总额（元）</t>
        </is>
      </c>
      <c r="C3" s="3" t="inlineStr">
        <is>
          <t>____</t>
        </is>
      </c>
      <c r="D3" s="3" t="inlineStr">
        <is>
          <t>采购/领用台账：米面、肉、菜、油、调料（只算自助档）</t>
        </is>
      </c>
      <c r="E3" s="3" t="inlineStr">
        <is>
          <t>需用户填</t>
        </is>
      </c>
    </row>
    <row r="4">
      <c r="A4" s="3" t="inlineStr">
        <is>
          <t>B</t>
        </is>
      </c>
      <c r="B4" s="3" t="inlineStr">
        <is>
          <t>本月自助就餐份数</t>
        </is>
      </c>
      <c r="C4" s="3" t="inlineStr">
        <is>
          <t>946</t>
        </is>
      </c>
      <c r="D4" s="3" t="inlineStr">
        <is>
          <t>TOP25 内快餐 15元930份 + 10元16份（12元档本月未见）</t>
        </is>
      </c>
      <c r="E4" s="3" t="inlineStr">
        <is>
          <t>已有</t>
        </is>
      </c>
    </row>
    <row r="5">
      <c r="A5" s="3" t="inlineStr">
        <is>
          <t>C</t>
        </is>
      </c>
      <c r="B5" s="3" t="inlineStr">
        <is>
          <t>自助人均食材成本（元/人）</t>
        </is>
      </c>
      <c r="C5" s="3">
        <f>A÷B</f>
        <v/>
      </c>
      <c r="D5" s="3" t="inlineStr">
        <is>
          <t>例：若 A=6000 → C=6.34 元/人</t>
        </is>
      </c>
      <c r="E5" s="3" t="inlineStr">
        <is>
          <t>自动算</t>
        </is>
      </c>
    </row>
    <row r="6">
      <c r="A6" s="3" t="inlineStr">
        <is>
          <t>D</t>
        </is>
      </c>
      <c r="B6" s="3" t="inlineStr">
        <is>
          <t>自助人均售价（元/人）</t>
        </is>
      </c>
      <c r="C6" s="3" t="inlineStr">
        <is>
          <t>14.91</t>
        </is>
      </c>
      <c r="D6" s="3" t="inlineStr">
        <is>
          <t>14110 ÷ 946</t>
        </is>
      </c>
      <c r="E6" s="3" t="inlineStr">
        <is>
          <t>已有</t>
        </is>
      </c>
    </row>
    <row r="7">
      <c r="A7" s="3" t="inlineStr">
        <is>
          <t>E</t>
        </is>
      </c>
      <c r="B7" s="3" t="inlineStr">
        <is>
          <t>自助毛利率</t>
        </is>
      </c>
      <c r="C7" s="3">
        <f>(D-C)÷D</f>
        <v/>
      </c>
      <c r="D7" s="3" t="inlineStr">
        <is>
          <t>例：C=6.34 → E=57.5%</t>
        </is>
      </c>
      <c r="E7" s="3" t="inlineStr">
        <is>
          <t>自动算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6" t="inlineStr">
        <is>
          <t>参考</t>
        </is>
      </c>
      <c r="B9" s="6" t="inlineStr">
        <is>
          <t>自助快餐食材成本率经验区间</t>
        </is>
      </c>
      <c r="C9" s="6" t="inlineStr">
        <is>
          <t>35%~50%</t>
        </is>
      </c>
      <c r="D9" s="6" t="inlineStr">
        <is>
          <t>15 元自助 → 人均食材成本约 5.25~7.50 元</t>
        </is>
      </c>
      <c r="E9" s="6" t="inlineStr">
        <is>
          <t>行业参考</t>
        </is>
      </c>
    </row>
    <row r="10">
      <c r="A10" s="6" t="inlineStr">
        <is>
          <t>参考</t>
        </is>
      </c>
      <c r="B10" s="6" t="inlineStr">
        <is>
          <t>对应毛利率区间</t>
        </is>
      </c>
      <c r="C10" s="6" t="inlineStr">
        <is>
          <t>50%~65%</t>
        </is>
      </c>
      <c r="D10" s="6" t="inlineStr">
        <is>
          <t>低于 50% 说明取量失控或损耗过高，需查</t>
        </is>
      </c>
      <c r="E10" s="6" t="inlineStr">
        <is>
          <t>行业参考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9" t="inlineStr">
        <is>
          <t>待办</t>
        </is>
      </c>
      <c r="B12" s="9" t="inlineStr">
        <is>
          <t>① 从收银/采购系统取自助档食材消耗</t>
        </is>
      </c>
      <c r="C12" s="9" t="inlineStr"/>
      <c r="D12" s="9" t="inlineStr">
        <is>
          <t>若系统分不出，可用「当月总食材采购 − 点菜部分估算」倒推</t>
        </is>
      </c>
      <c r="E12" s="9" t="inlineStr">
        <is>
          <t>用户</t>
        </is>
      </c>
    </row>
    <row r="13">
      <c r="A13" s="9" t="inlineStr">
        <is>
          <t>待办</t>
        </is>
      </c>
      <c r="B13" s="9" t="inlineStr">
        <is>
          <t>② 确认 12 元会员档本月是否有销售</t>
        </is>
      </c>
      <c r="C13" s="9" t="inlineStr"/>
      <c r="D13" s="9" t="inlineStr">
        <is>
          <t>TOP25 未见，可能在 25 名之后；需补 26-60 名数据</t>
        </is>
      </c>
      <c r="E13" s="9" t="inlineStr">
        <is>
          <t>用户/豆包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3" customWidth="1" min="5" max="5"/>
    <col width="16" customWidth="1" min="6" max="6"/>
    <col width="16" customWidth="1" min="7" max="7"/>
    <col width="50" customWidth="1" min="8" max="8"/>
  </cols>
  <sheetData>
    <row r="1" ht="26" customHeight="1">
      <c r="A1" s="1" t="inlineStr">
        <is>
          <t>覆盖率口径修正（R264 覆盖率按金额算 —— 分母决定天花板）</t>
        </is>
      </c>
    </row>
    <row r="2" ht="22" customHeight="1">
      <c r="A2" s="2" t="inlineStr">
        <is>
          <t>档</t>
        </is>
      </c>
      <c r="B2" s="2" t="inlineStr">
        <is>
          <t>口径</t>
        </is>
      </c>
      <c r="C2" s="2" t="inlineStr">
        <is>
          <t>分母(元)</t>
        </is>
      </c>
      <c r="D2" s="2" t="inlineStr">
        <is>
          <t>分子·已建卡(元)</t>
        </is>
      </c>
      <c r="E2" s="2" t="inlineStr">
        <is>
          <t>覆盖率·仅7道%</t>
        </is>
      </c>
      <c r="F2" s="2" t="inlineStr">
        <is>
          <t>覆盖率·+25名后(保守)%</t>
        </is>
      </c>
      <c r="G2" s="2" t="inlineStr">
        <is>
          <t>覆盖率·+25名后(乐观)%</t>
        </is>
      </c>
      <c r="H2" s="2" t="inlineStr">
        <is>
          <t>评价</t>
        </is>
      </c>
    </row>
    <row r="3">
      <c r="A3" s="3" t="inlineStr">
        <is>
          <t>A</t>
        </is>
      </c>
      <c r="B3" s="3" t="inlineStr">
        <is>
          <t>现状：分母 = 全部销售额</t>
        </is>
      </c>
      <c r="C3" s="3" t="n">
        <v>33146.2</v>
      </c>
      <c r="D3" s="3" t="n">
        <v>4502.12</v>
      </c>
      <c r="E3" s="3" t="n">
        <v>13.6</v>
      </c>
      <c r="F3" s="3" t="n">
        <v>20.8</v>
      </c>
      <c r="G3" s="3" t="n">
        <v>28</v>
      </c>
      <c r="H3" s="3" t="inlineStr">
        <is>
          <t>❌ 分母含零售转售+自助，天花板 ~13.6%，老板看着永远很低</t>
        </is>
      </c>
    </row>
    <row r="4">
      <c r="A4" s="3" t="inlineStr">
        <is>
          <t>B</t>
        </is>
      </c>
      <c r="B4" s="3" t="inlineStr">
        <is>
          <t>剔除零售转售（烟/酒/饮料）</t>
        </is>
      </c>
      <c r="C4" s="3" t="n">
        <v>26832.2</v>
      </c>
      <c r="D4" s="3" t="n">
        <v>4502.12</v>
      </c>
      <c r="E4" s="3" t="n">
        <v>16.8</v>
      </c>
      <c r="F4" s="3" t="n">
        <v>25.7</v>
      </c>
      <c r="G4" s="3" t="n">
        <v>34.6</v>
      </c>
      <c r="H4" s="3" t="inlineStr">
        <is>
          <t>✅ 推荐：转售类无成本卡概念，剔除合理</t>
        </is>
      </c>
    </row>
    <row r="5">
      <c r="A5" s="3" t="inlineStr">
        <is>
          <t>C</t>
        </is>
      </c>
      <c r="B5" s="3" t="inlineStr">
        <is>
          <t>剔除零售 + 自助 + 加工费</t>
        </is>
      </c>
      <c r="C5" s="3" t="n">
        <v>12474.7</v>
      </c>
      <c r="D5" s="3" t="n">
        <v>4502.12</v>
      </c>
      <c r="E5" s="3" t="n">
        <v>36.1</v>
      </c>
      <c r="F5" s="3" t="n">
        <v>55.3</v>
      </c>
      <c r="G5" s="3" t="n">
        <v>74.40000000000001</v>
      </c>
      <c r="H5" s="3" t="inlineStr">
        <is>
          <t>⚠️ 分母最小、覆盖率最高，但把最大收入项排除在外，掩盖真实缺口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9" t="inlineStr">
        <is>
          <t>B+</t>
        </is>
      </c>
      <c r="B7" s="9" t="inlineStr">
        <is>
          <t>B档 + 自助计入分子（人均成本口径）</t>
        </is>
      </c>
      <c r="C7" s="9" t="n">
        <v>26832.2</v>
      </c>
      <c r="D7" s="9" t="n">
        <v>18612.12</v>
      </c>
      <c r="E7" s="9" t="n">
        <v>69.40000000000001</v>
      </c>
      <c r="F7" s="9" t="n">
        <v>78.3</v>
      </c>
      <c r="G7" s="9" t="n">
        <v>87.2</v>
      </c>
      <c r="H7" s="9" t="inlineStr">
        <is>
          <t>⭐ 最真实：自助按整体口径天然已覆盖，覆盖率可达 80%+</t>
        </is>
      </c>
    </row>
    <row r="9">
      <c r="A9" s="7" t="inlineStr">
        <is>
          <t>结论与建议</t>
        </is>
      </c>
    </row>
    <row r="10" ht="32" customHeight="1">
      <c r="A10" s="8" t="inlineStr">
        <is>
          <t>1. 现 A 档天花板只有 13.6%（零售61%+自助42% 占了大头），覆盖率条会「永远很低」⇒ 不是 Bug，是口径问题。</t>
        </is>
      </c>
    </row>
    <row r="11" ht="32" customHeight="1">
      <c r="A11" s="8" t="inlineStr">
        <is>
          <t>2. 推荐改 B+ 档：分母剔除零售转售类（19.05%），自助按人均成本口径计入分子 ⇒ 覆盖率能到 80%+，且真实。</t>
        </is>
      </c>
    </row>
    <row r="12" ht="32" customHeight="1">
      <c r="A12" s="8" t="inlineStr">
        <is>
          <t>3. C 档不推荐：把 42% 的自助排除后覆盖率好看，但最大的收入项反而没被核算，属于自欺。</t>
        </is>
      </c>
    </row>
    <row r="13" ht="32" customHeight="1">
      <c r="A13" s="8" t="inlineStr">
        <is>
          <t>4. ⚠️ 改码需「先审后合」：R264 覆盖率当前实现为「分母=全部销售额」，改分母属口径变更，需李老师批准后再动代码（本轮未改码）。</t>
        </is>
      </c>
    </row>
    <row r="14" ht="32" customHeight="1">
      <c r="A14" s="8" t="inlineStr">
        <is>
          <t>5. 25 名之后约 240 种 / 7972.58 元（24.05%）性质未知 ⇒ 上表保守/乐观两档为估算，定稿需补取 26-60 名数据。</t>
        </is>
      </c>
    </row>
  </sheetData>
  <mergeCells count="6">
    <mergeCell ref="A12:H1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0" customWidth="1" min="4" max="4"/>
    <col width="8" customWidth="1" min="5" max="5"/>
    <col width="26" customWidth="1" min="6" max="6"/>
    <col width="13" customWidth="1" min="7" max="7"/>
    <col width="34" customWidth="1" min="8" max="8"/>
  </cols>
  <sheetData>
    <row r="1" ht="26" customHeight="1">
      <c r="A1" s="1" t="inlineStr">
        <is>
          <t>业态洞察：这家店实际是「午餐自助快餐为主 + 正餐面食/火锅为辅」</t>
        </is>
      </c>
    </row>
    <row r="2" ht="22" customHeight="1">
      <c r="A2" s="2" t="inlineStr">
        <is>
          <t>时段/形态</t>
        </is>
      </c>
      <c r="B2" s="2" t="inlineStr">
        <is>
          <t>代表项</t>
        </is>
      </c>
      <c r="C2" s="2" t="inlineStr">
        <is>
          <t>销售额(元)</t>
        </is>
      </c>
      <c r="D2" s="2" t="inlineStr">
        <is>
          <t>占总额%</t>
        </is>
      </c>
      <c r="E2" s="2" t="inlineStr">
        <is>
          <t>份数</t>
        </is>
      </c>
      <c r="F2" s="2" t="inlineStr">
        <is>
          <t>成本口径</t>
        </is>
      </c>
      <c r="G2" s="2" t="inlineStr">
        <is>
          <t>单品卡</t>
        </is>
      </c>
      <c r="H2" s="2" t="inlineStr">
        <is>
          <t>说明</t>
        </is>
      </c>
    </row>
    <row r="3">
      <c r="A3" s="4" t="inlineStr">
        <is>
          <t>午餐·自助快餐</t>
        </is>
      </c>
      <c r="B3" s="4" t="inlineStr">
        <is>
          <t>快餐 15/12/10 元随便吃</t>
        </is>
      </c>
      <c r="C3" s="4" t="inlineStr">
        <is>
          <t>14110</t>
        </is>
      </c>
      <c r="D3" s="4" t="inlineStr">
        <is>
          <t>42.57%</t>
        </is>
      </c>
      <c r="E3" s="4" t="inlineStr">
        <is>
          <t>946</t>
        </is>
      </c>
      <c r="F3" s="4" t="inlineStr">
        <is>
          <t>自助人均成本口径</t>
        </is>
      </c>
      <c r="G3" s="4" t="inlineStr">
        <is>
          <t>❌ 不适用单品卡</t>
        </is>
      </c>
      <c r="H3" s="4" t="inlineStr">
        <is>
          <t>主力收入，却游离在成本卡体系外</t>
        </is>
      </c>
    </row>
    <row r="4">
      <c r="A4" s="4" t="inlineStr">
        <is>
          <t>全天·零售转售</t>
        </is>
      </c>
      <c r="B4" s="4" t="inlineStr">
        <is>
          <t>香烟/酒水/饮料</t>
        </is>
      </c>
      <c r="C4" s="4" t="inlineStr">
        <is>
          <t>6314</t>
        </is>
      </c>
      <c r="D4" s="4" t="inlineStr">
        <is>
          <t>19.05%</t>
        </is>
      </c>
      <c r="E4" s="4" t="inlineStr">
        <is>
          <t>—</t>
        </is>
      </c>
      <c r="F4" s="4" t="inlineStr">
        <is>
          <t>固定差价毛利</t>
        </is>
      </c>
      <c r="G4" s="4" t="inlineStr">
        <is>
          <t>❌ 无需建卡</t>
        </is>
      </c>
      <c r="H4" s="4" t="inlineStr">
        <is>
          <t>转售品，毛利=进销差，与成本卡无关</t>
        </is>
      </c>
    </row>
    <row r="5">
      <c r="A5" s="9" t="inlineStr">
        <is>
          <t>正餐·面食</t>
        </is>
      </c>
      <c r="B5" s="9" t="inlineStr">
        <is>
          <t>小面/抄手/韭叶/米线</t>
        </is>
      </c>
      <c r="C5" s="9" t="inlineStr">
        <is>
          <t>3517</t>
        </is>
      </c>
      <c r="D5" s="9" t="inlineStr">
        <is>
          <t>10.61%</t>
        </is>
      </c>
      <c r="E5" s="9" t="inlineStr">
        <is>
          <t>430</t>
        </is>
      </c>
      <c r="F5" s="9" t="inlineStr">
        <is>
          <t>面食口径（面+臊子+调料+骨汤）</t>
        </is>
      </c>
      <c r="G5" s="9" t="inlineStr">
        <is>
          <t>✅ 建卡</t>
        </is>
      </c>
      <c r="H5" s="9" t="inlineStr">
        <is>
          <t>★单品卡真正的主力</t>
        </is>
      </c>
    </row>
    <row r="6">
      <c r="A6" s="9" t="inlineStr">
        <is>
          <t>正餐·火锅招牌</t>
        </is>
      </c>
      <c r="B6" s="9" t="inlineStr">
        <is>
          <t>耙牛肉/耙牛筋/毛血旺</t>
        </is>
      </c>
      <c r="C6" s="9" t="inlineStr">
        <is>
          <t>985.12</t>
        </is>
      </c>
      <c r="D6" s="9" t="inlineStr">
        <is>
          <t>2.97%</t>
        </is>
      </c>
      <c r="E6" s="9" t="inlineStr">
        <is>
          <t>29</t>
        </is>
      </c>
      <c r="F6" s="9" t="inlineStr">
        <is>
          <t>火锅口径（含生熟比/水发率）</t>
        </is>
      </c>
      <c r="G6" s="9" t="inlineStr">
        <is>
          <t>✅ 建卡</t>
        </is>
      </c>
      <c r="H6" s="9" t="inlineStr">
        <is>
          <t>招牌菜，金额小但代表品牌</t>
        </is>
      </c>
    </row>
    <row r="7">
      <c r="A7" s="4" t="inlineStr">
        <is>
          <t>其他</t>
        </is>
      </c>
      <c r="B7" s="4" t="inlineStr">
        <is>
          <t>加工费</t>
        </is>
      </c>
      <c r="C7" s="4" t="inlineStr">
        <is>
          <t>247.5</t>
        </is>
      </c>
      <c r="D7" s="4" t="inlineStr">
        <is>
          <t>0.75%</t>
        </is>
      </c>
      <c r="E7" s="4" t="inlineStr">
        <is>
          <t>16</t>
        </is>
      </c>
      <c r="F7" s="4" t="inlineStr">
        <is>
          <t>—</t>
        </is>
      </c>
      <c r="G7" s="4" t="inlineStr">
        <is>
          <t>❌ 非菜品</t>
        </is>
      </c>
      <c r="H7" s="4" t="inlineStr">
        <is>
          <t>疑为服务费</t>
        </is>
      </c>
    </row>
    <row r="8">
      <c r="A8" s="6" t="inlineStr">
        <is>
          <t>25名之后</t>
        </is>
      </c>
      <c r="B8" s="6" t="inlineStr">
        <is>
          <t>约 240 种未取数</t>
        </is>
      </c>
      <c r="C8" s="6" t="inlineStr">
        <is>
          <t>7972.58</t>
        </is>
      </c>
      <c r="D8" s="6" t="inlineStr">
        <is>
          <t>24.05%</t>
        </is>
      </c>
      <c r="E8" s="6" t="inlineStr">
        <is>
          <t>—</t>
        </is>
      </c>
      <c r="F8" s="6" t="inlineStr">
        <is>
          <t>未知</t>
        </is>
      </c>
      <c r="G8" s="6" t="inlineStr">
        <is>
          <t>❓ 待补</t>
        </is>
      </c>
      <c r="H8" s="6" t="inlineStr">
        <is>
          <t>需补 26-60 名才能定稿</t>
        </is>
      </c>
    </row>
    <row r="10">
      <c r="A10" s="7" t="inlineStr">
        <is>
          <t>对 M3 的启示</t>
        </is>
      </c>
    </row>
    <row r="11" ht="32" customHeight="1">
      <c r="A11" s="8" t="inlineStr">
        <is>
          <t>1. M3 现有「单品成本卡」只适配点菜类（面食+火锅招牌 ≈ 13.58% 金额），对 42% 的自助快餐无解。</t>
        </is>
      </c>
    </row>
    <row r="12" ht="32" customHeight="1">
      <c r="A12" s="8" t="inlineStr">
        <is>
          <t>2. 自助业态需要的是「人均食材成本」，属另一种核算对象 —— 若要做，属新增卡类型，触碰 R190 红线（M3=加渠道、不加卡类型），必须先出增量规范再动码。</t>
        </is>
      </c>
    </row>
    <row r="13" ht="32" customHeight="1">
      <c r="A13" s="8" t="inlineStr">
        <is>
          <t>3. 短期不动码的替代：用本表③的模板在 Excel 里算，结果直接进月度报表，不进小程序。</t>
        </is>
      </c>
    </row>
    <row r="14" ht="32" customHeight="1">
      <c r="A14" s="8" t="inlineStr">
        <is>
          <t>4. 建卡优先级已被真实数据推翻两次：招牌菜代理排名（错）→ 销售额排名（对）。后续一律以销售额为准。</t>
        </is>
      </c>
    </row>
  </sheetData>
  <mergeCells count="5">
    <mergeCell ref="A12:H12"/>
    <mergeCell ref="A13:H13"/>
    <mergeCell ref="A11:H11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2026-10-10T15:56:38Z</dcterms:created>
  <dcterms:modified xsi:type="dcterms:W3CDTF">2026-10-10T15:56:38Z</dcterms:modified>
</cp:coreProperties>
</file>