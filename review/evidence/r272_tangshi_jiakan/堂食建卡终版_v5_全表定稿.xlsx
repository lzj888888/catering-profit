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首批7道" sheetId="1" state="visible" r:id="rId1"/>
    <sheet name="②第二批13道" sheetId="2" state="visible" r:id="rId2"/>
    <sheet name="③快餐=自助" sheetId="3" state="visible" r:id="rId3"/>
    <sheet name="④自助成本模板" sheetId="4" state="visible" r:id="rId4"/>
    <sheet name="⑤覆盖率分母三档" sheetId="5" state="visible" r:id="rId5"/>
    <sheet name="⑥全表结构校验" sheetId="6" state="visible" r:id="rId6"/>
    <sheet name="⑦业态洞察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9" customWidth="1" min="4" max="4"/>
    <col width="7" customWidth="1" min="5" max="5"/>
    <col width="12" customWidth="1" min="6" max="6"/>
    <col width="11" customWidth="1" min="7" max="7"/>
    <col width="9" customWidth="1" min="8" max="8"/>
    <col width="14" customWidth="1" min="9" max="9"/>
  </cols>
  <sheetData>
    <row r="1" ht="26" customHeight="1">
      <c r="A1" s="1" t="inlineStr">
        <is>
          <t>首批建卡 7 道（TOP25 内全部可建卡项 · 免费档 20 张卡内）</t>
        </is>
      </c>
    </row>
    <row r="2" ht="22" customHeight="1">
      <c r="A2" s="2" t="inlineStr">
        <is>
          <t>序</t>
        </is>
      </c>
      <c r="B2" s="2" t="inlineStr">
        <is>
          <t>菜名</t>
        </is>
      </c>
      <c r="C2" s="2" t="inlineStr">
        <is>
          <t>销售额(元)</t>
        </is>
      </c>
      <c r="D2" s="2" t="inlineStr">
        <is>
          <t>占总额%</t>
        </is>
      </c>
      <c r="E2" s="2" t="inlineStr">
        <is>
          <t>份数</t>
        </is>
      </c>
      <c r="F2" s="2" t="inlineStr">
        <is>
          <t>实际售价(元)</t>
        </is>
      </c>
      <c r="G2" s="2" t="inlineStr">
        <is>
          <t>食材成本(元)</t>
        </is>
      </c>
      <c r="H2" s="2" t="inlineStr">
        <is>
          <t>毛利率%</t>
        </is>
      </c>
      <c r="I2" s="2" t="inlineStr">
        <is>
          <t>配方来源</t>
        </is>
      </c>
    </row>
    <row r="3">
      <c r="A3" s="3" t="n">
        <v>1</v>
      </c>
      <c r="B3" s="3" t="inlineStr">
        <is>
          <t>小面</t>
        </is>
      </c>
      <c r="C3" s="3" t="n">
        <v>1033</v>
      </c>
      <c r="D3" s="3" t="n">
        <v>3.12</v>
      </c>
      <c r="E3" s="3" t="n">
        <v>139</v>
      </c>
      <c r="F3" s="3" t="n">
        <v>7.43</v>
      </c>
      <c r="G3" s="3" t="n">
        <v>2.53</v>
      </c>
      <c r="H3" s="3" t="n">
        <v>65.95999999999999</v>
      </c>
      <c r="I3" s="3" t="inlineStr">
        <is>
          <t>v3·豆包查证</t>
        </is>
      </c>
    </row>
    <row r="4">
      <c r="A4" s="3" t="n">
        <v>2</v>
      </c>
      <c r="B4" s="3" t="inlineStr">
        <is>
          <t>抄手</t>
        </is>
      </c>
      <c r="C4" s="3" t="n">
        <v>940</v>
      </c>
      <c r="D4" s="3" t="n">
        <v>2.84</v>
      </c>
      <c r="E4" s="3" t="n">
        <v>75</v>
      </c>
      <c r="F4" s="3" t="n">
        <v>12.53</v>
      </c>
      <c r="G4" s="3" t="n">
        <v>6.13</v>
      </c>
      <c r="H4" s="3" t="n">
        <v>51.09</v>
      </c>
      <c r="I4" s="3" t="inlineStr">
        <is>
          <t>v3·豆包查证</t>
        </is>
      </c>
    </row>
    <row r="5">
      <c r="A5" s="4" t="n">
        <v>3</v>
      </c>
      <c r="B5" s="4" t="inlineStr">
        <is>
          <t>韭叶</t>
        </is>
      </c>
      <c r="C5" s="4" t="n">
        <v>916</v>
      </c>
      <c r="D5" s="4" t="n">
        <v>2.76</v>
      </c>
      <c r="E5" s="4" t="n">
        <v>128</v>
      </c>
      <c r="F5" s="4" t="n">
        <v>7.16</v>
      </c>
      <c r="G5" s="4" t="n">
        <v>4.12</v>
      </c>
      <c r="H5" s="4" t="n">
        <v>42.43</v>
      </c>
      <c r="I5" s="4" t="inlineStr">
        <is>
          <t>v3·豆包查证</t>
        </is>
      </c>
    </row>
    <row r="6">
      <c r="A6" s="4" t="n">
        <v>4</v>
      </c>
      <c r="B6" s="4" t="inlineStr">
        <is>
          <t>米线</t>
        </is>
      </c>
      <c r="C6" s="4" t="n">
        <v>628</v>
      </c>
      <c r="D6" s="4" t="n">
        <v>1.89</v>
      </c>
      <c r="E6" s="4" t="n">
        <v>88</v>
      </c>
      <c r="F6" s="4" t="n">
        <v>7.14</v>
      </c>
      <c r="G6" s="4" t="n">
        <v>4.08</v>
      </c>
      <c r="H6" s="4" t="n">
        <v>42.83</v>
      </c>
      <c r="I6" s="4" t="inlineStr">
        <is>
          <t>v3·豆包查证</t>
        </is>
      </c>
    </row>
    <row r="7">
      <c r="A7" s="4" t="n">
        <v>5</v>
      </c>
      <c r="B7" s="4" t="inlineStr">
        <is>
          <t>耙牛肉（半斤）</t>
        </is>
      </c>
      <c r="C7" s="4" t="n">
        <v>412.83</v>
      </c>
      <c r="D7" s="4" t="n">
        <v>1.25</v>
      </c>
      <c r="E7" s="4" t="n">
        <v>13</v>
      </c>
      <c r="F7" s="4" t="n">
        <v>31.76</v>
      </c>
      <c r="G7" s="4" t="n">
        <v>20.4</v>
      </c>
      <c r="H7" s="4" t="n">
        <v>35.76</v>
      </c>
      <c r="I7" s="4" t="inlineStr">
        <is>
          <t>v2·豆包查证</t>
        </is>
      </c>
    </row>
    <row r="8">
      <c r="A8" s="3" t="n">
        <v>6</v>
      </c>
      <c r="B8" s="3" t="inlineStr">
        <is>
          <t>耙牛筋（半斤）</t>
        </is>
      </c>
      <c r="C8" s="3" t="n">
        <v>324.29</v>
      </c>
      <c r="D8" s="3" t="n">
        <v>0.98</v>
      </c>
      <c r="E8" s="3" t="n">
        <v>10</v>
      </c>
      <c r="F8" s="3" t="n">
        <v>32.43</v>
      </c>
      <c r="G8" s="3" t="n">
        <v>13.44</v>
      </c>
      <c r="H8" s="3" t="n">
        <v>58.56</v>
      </c>
      <c r="I8" s="3" t="inlineStr">
        <is>
          <t>v2·豆包查证</t>
        </is>
      </c>
    </row>
    <row r="9">
      <c r="A9" s="3" t="n">
        <v>7</v>
      </c>
      <c r="B9" s="3" t="inlineStr">
        <is>
          <t>毛血旺</t>
        </is>
      </c>
      <c r="C9" s="3" t="n">
        <v>248</v>
      </c>
      <c r="D9" s="3" t="n">
        <v>0.75</v>
      </c>
      <c r="E9" s="3" t="n">
        <v>6</v>
      </c>
      <c r="F9" s="3" t="n">
        <v>41.33</v>
      </c>
      <c r="G9" s="3" t="n">
        <v>19.64</v>
      </c>
      <c r="H9" s="3" t="n">
        <v>52.48</v>
      </c>
      <c r="I9" s="3" t="inlineStr">
        <is>
          <t>v3·豆包查证</t>
        </is>
      </c>
    </row>
    <row r="10">
      <c r="A10" s="5" t="inlineStr"/>
      <c r="B10" s="5" t="inlineStr">
        <is>
          <t>合计</t>
        </is>
      </c>
      <c r="C10" s="5" t="n">
        <v>4502.12</v>
      </c>
      <c r="D10" s="5" t="n">
        <v>13.58</v>
      </c>
      <c r="E10" s="5" t="n">
        <v>459</v>
      </c>
      <c r="F10" s="5" t="inlineStr"/>
      <c r="G10" s="5" t="inlineStr"/>
      <c r="H10" s="5" t="inlineStr"/>
      <c r="I10" s="5" t="inlineStr"/>
    </row>
    <row r="11">
      <c r="A11" s="6" t="inlineStr">
        <is>
          <t>⚠️ 首批警示（售价已按「销售额÷份数」重算，与 v2 估算售价不同）</t>
        </is>
      </c>
    </row>
    <row r="12" ht="30" customHeight="1">
      <c r="A12" s="7" t="inlineStr">
        <is>
          <t>耙牛肉（半斤）：实际售价 31.76 元（非 v2 假设的 38 元）⇒ 毛利率仅 35.8%，是 7 道里最低。招牌菜却最不赚钱，建议优先复核配方或调价。</t>
        </is>
      </c>
    </row>
    <row r="13" ht="30" customHeight="1">
      <c r="A13" s="7" t="inlineStr">
        <is>
          <t>韭叶 42.4% / 米线 42.8% 也偏低，属面食正常区间但无提升空间，靠走量。</t>
        </is>
      </c>
    </row>
  </sheetData>
  <mergeCells count="3">
    <mergeCell ref="A1:I1"/>
    <mergeCell ref="A12:I12"/>
    <mergeCell ref="A13:I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9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  <col width="30" customWidth="1" min="10" max="10"/>
  </cols>
  <sheetData>
    <row r="1" ht="26" customHeight="1">
      <c r="A1" s="1" t="inlineStr">
        <is>
          <t>第二批建卡 13 道（第 26–60 名内可建卡项 · 用完免费档 20 张卡）</t>
        </is>
      </c>
    </row>
    <row r="2" ht="22" customHeight="1">
      <c r="A2" s="2" t="inlineStr">
        <is>
          <t>序</t>
        </is>
      </c>
      <c r="B2" s="2" t="inlineStr">
        <is>
          <t>菜名</t>
        </is>
      </c>
      <c r="C2" s="2" t="inlineStr">
        <is>
          <t>销售额(元)</t>
        </is>
      </c>
      <c r="D2" s="2" t="inlineStr">
        <is>
          <t>占总额%</t>
        </is>
      </c>
      <c r="E2" s="2" t="inlineStr">
        <is>
          <t>份数</t>
        </is>
      </c>
      <c r="F2" s="2" t="inlineStr">
        <is>
          <t>实际售价(元)</t>
        </is>
      </c>
      <c r="G2" s="2" t="inlineStr">
        <is>
          <t>食材成本(元)</t>
        </is>
      </c>
      <c r="H2" s="2" t="inlineStr">
        <is>
          <t>毛利率%</t>
        </is>
      </c>
      <c r="I2" s="2" t="inlineStr">
        <is>
          <t>类别</t>
        </is>
      </c>
      <c r="J2" s="2" t="inlineStr">
        <is>
          <t>备注</t>
        </is>
      </c>
    </row>
    <row r="3">
      <c r="A3" s="3" t="n">
        <v>8</v>
      </c>
      <c r="B3" s="3" t="inlineStr">
        <is>
          <t>小料</t>
        </is>
      </c>
      <c r="C3" s="3" t="n">
        <v>140.89</v>
      </c>
      <c r="D3" s="3" t="n">
        <v>0.43</v>
      </c>
      <c r="E3" s="3" t="n">
        <v>32</v>
      </c>
      <c r="F3" s="3" t="n">
        <v>4.4</v>
      </c>
      <c r="G3" s="3" t="inlineStr">
        <is>
          <t>待补</t>
        </is>
      </c>
      <c r="H3" s="3" t="inlineStr">
        <is>
          <t>—</t>
        </is>
      </c>
      <c r="I3" s="3" t="inlineStr">
        <is>
          <t>D菜品</t>
        </is>
      </c>
      <c r="J3" s="3" t="inlineStr">
        <is>
          <t>蘸料台，多自助取用，成本随取量波动</t>
        </is>
      </c>
    </row>
    <row r="4">
      <c r="A4" s="4" t="n">
        <v>9</v>
      </c>
      <c r="B4" s="4" t="inlineStr">
        <is>
          <t>耙肥肠（四两）</t>
        </is>
      </c>
      <c r="C4" s="4" t="n">
        <v>140.4</v>
      </c>
      <c r="D4" s="4" t="n">
        <v>0.42</v>
      </c>
      <c r="E4" s="4" t="n">
        <v>6</v>
      </c>
      <c r="F4" s="4" t="n">
        <v>23.4</v>
      </c>
      <c r="G4" s="4" t="n">
        <v>16.1</v>
      </c>
      <c r="H4" s="4" t="n">
        <v>31.2</v>
      </c>
      <c r="I4" s="4" t="inlineStr">
        <is>
          <t>D菜品</t>
        </is>
      </c>
      <c r="J4" s="4" t="inlineStr">
        <is>
          <t>v2成本16.10 ⇒ 毛利仅31.2%，⚠️最低</t>
        </is>
      </c>
    </row>
    <row r="5">
      <c r="A5" s="3" t="n">
        <v>10</v>
      </c>
      <c r="B5" s="3" t="inlineStr">
        <is>
          <t>泡椒酸菜鱼</t>
        </is>
      </c>
      <c r="C5" s="3" t="n">
        <v>134.4</v>
      </c>
      <c r="D5" s="3" t="n">
        <v>0.41</v>
      </c>
      <c r="E5" s="3" t="n">
        <v>4</v>
      </c>
      <c r="F5" s="3" t="n">
        <v>33.6</v>
      </c>
      <c r="G5" s="3" t="inlineStr">
        <is>
          <t>待补</t>
        </is>
      </c>
      <c r="H5" s="3" t="inlineStr">
        <is>
          <t>—</t>
        </is>
      </c>
      <c r="I5" s="3" t="inlineStr">
        <is>
          <t>D菜品</t>
        </is>
      </c>
      <c r="J5" s="3" t="inlineStr">
        <is>
          <t>配方待补</t>
        </is>
      </c>
    </row>
    <row r="6">
      <c r="A6" s="3" t="n">
        <v>11</v>
      </c>
      <c r="B6" s="3" t="inlineStr">
        <is>
          <t>肥肠二两</t>
        </is>
      </c>
      <c r="C6" s="3" t="n">
        <v>128</v>
      </c>
      <c r="D6" s="3" t="n">
        <v>0.39</v>
      </c>
      <c r="E6" s="3" t="n">
        <v>8</v>
      </c>
      <c r="F6" s="3" t="n">
        <v>16</v>
      </c>
      <c r="G6" s="3" t="inlineStr">
        <is>
          <t>待补</t>
        </is>
      </c>
      <c r="H6" s="3" t="inlineStr">
        <is>
          <t>—</t>
        </is>
      </c>
      <c r="I6" s="3" t="inlineStr">
        <is>
          <t>C面食</t>
        </is>
      </c>
      <c r="J6" s="3" t="inlineStr">
        <is>
          <t>配方待补（面食口径）</t>
        </is>
      </c>
    </row>
    <row r="7">
      <c r="A7" s="3" t="n">
        <v>12</v>
      </c>
      <c r="B7" s="3" t="inlineStr">
        <is>
          <t>韭菜炒蛋</t>
        </is>
      </c>
      <c r="C7" s="3" t="n">
        <v>128</v>
      </c>
      <c r="D7" s="3" t="n">
        <v>0.39</v>
      </c>
      <c r="E7" s="3" t="n">
        <v>8</v>
      </c>
      <c r="F7" s="3" t="n">
        <v>16</v>
      </c>
      <c r="G7" s="3" t="inlineStr">
        <is>
          <t>待补</t>
        </is>
      </c>
      <c r="H7" s="3" t="inlineStr">
        <is>
          <t>—</t>
        </is>
      </c>
      <c r="I7" s="3" t="inlineStr">
        <is>
          <t>D菜品</t>
        </is>
      </c>
      <c r="J7" s="3" t="inlineStr">
        <is>
          <t>配方待补</t>
        </is>
      </c>
    </row>
    <row r="8">
      <c r="A8" s="3" t="n">
        <v>13</v>
      </c>
      <c r="B8" s="3" t="inlineStr">
        <is>
          <t>肥肠三两</t>
        </is>
      </c>
      <c r="C8" s="3" t="n">
        <v>126</v>
      </c>
      <c r="D8" s="3" t="n">
        <v>0.38</v>
      </c>
      <c r="E8" s="3" t="n">
        <v>7</v>
      </c>
      <c r="F8" s="3" t="n">
        <v>18</v>
      </c>
      <c r="G8" s="3" t="inlineStr">
        <is>
          <t>待补</t>
        </is>
      </c>
      <c r="H8" s="3" t="inlineStr">
        <is>
          <t>—</t>
        </is>
      </c>
      <c r="I8" s="3" t="inlineStr">
        <is>
          <t>C面食</t>
        </is>
      </c>
      <c r="J8" s="3" t="inlineStr">
        <is>
          <t>配方待补（面食口径）</t>
        </is>
      </c>
    </row>
    <row r="9">
      <c r="A9" s="3" t="n">
        <v>14</v>
      </c>
      <c r="B9" s="3" t="inlineStr">
        <is>
          <t>刀削</t>
        </is>
      </c>
      <c r="C9" s="3" t="n">
        <v>114</v>
      </c>
      <c r="D9" s="3" t="n">
        <v>0.34</v>
      </c>
      <c r="E9" s="3" t="n">
        <v>16</v>
      </c>
      <c r="F9" s="3" t="n">
        <v>7.12</v>
      </c>
      <c r="G9" s="3" t="inlineStr">
        <is>
          <t>待补</t>
        </is>
      </c>
      <c r="H9" s="3" t="inlineStr">
        <is>
          <t>—</t>
        </is>
      </c>
      <c r="I9" s="3" t="inlineStr">
        <is>
          <t>C面食</t>
        </is>
      </c>
      <c r="J9" s="3" t="inlineStr">
        <is>
          <t>配方待补（面食口径）</t>
        </is>
      </c>
    </row>
    <row r="10">
      <c r="A10" s="3" t="n">
        <v>15</v>
      </c>
      <c r="B10" s="3" t="inlineStr">
        <is>
          <t>水煮肉片</t>
        </is>
      </c>
      <c r="C10" s="3" t="n">
        <v>114</v>
      </c>
      <c r="D10" s="3" t="n">
        <v>0.34</v>
      </c>
      <c r="E10" s="3" t="n">
        <v>3</v>
      </c>
      <c r="F10" s="3" t="n">
        <v>38</v>
      </c>
      <c r="G10" s="3" t="inlineStr">
        <is>
          <t>待补</t>
        </is>
      </c>
      <c r="H10" s="3" t="inlineStr">
        <is>
          <t>—</t>
        </is>
      </c>
      <c r="I10" s="3" t="inlineStr">
        <is>
          <t>D菜品</t>
        </is>
      </c>
      <c r="J10" s="3" t="inlineStr">
        <is>
          <t>配方待补</t>
        </is>
      </c>
    </row>
    <row r="11">
      <c r="A11" s="3" t="n">
        <v>16</v>
      </c>
      <c r="B11" s="3" t="inlineStr">
        <is>
          <t>牛肉滑</t>
        </is>
      </c>
      <c r="C11" s="3" t="n">
        <v>108.18</v>
      </c>
      <c r="D11" s="3" t="n">
        <v>0.33</v>
      </c>
      <c r="E11" s="3" t="n">
        <v>6</v>
      </c>
      <c r="F11" s="3" t="n">
        <v>18.03</v>
      </c>
      <c r="G11" s="3" t="inlineStr">
        <is>
          <t>待补</t>
        </is>
      </c>
      <c r="H11" s="3" t="inlineStr">
        <is>
          <t>—</t>
        </is>
      </c>
      <c r="I11" s="3" t="inlineStr">
        <is>
          <t>D菜品</t>
        </is>
      </c>
      <c r="J11" s="3" t="inlineStr">
        <is>
          <t>配方待补（火锅口径）</t>
        </is>
      </c>
    </row>
    <row r="12">
      <c r="A12" s="3" t="n">
        <v>17</v>
      </c>
      <c r="B12" s="3" t="inlineStr">
        <is>
          <t>杂酱二两</t>
        </is>
      </c>
      <c r="C12" s="3" t="n">
        <v>96</v>
      </c>
      <c r="D12" s="3" t="n">
        <v>0.29</v>
      </c>
      <c r="E12" s="3" t="n">
        <v>8</v>
      </c>
      <c r="F12" s="3" t="n">
        <v>12</v>
      </c>
      <c r="G12" s="3" t="inlineStr">
        <is>
          <t>待补</t>
        </is>
      </c>
      <c r="H12" s="3" t="inlineStr">
        <is>
          <t>—</t>
        </is>
      </c>
      <c r="I12" s="3" t="inlineStr">
        <is>
          <t>C面食</t>
        </is>
      </c>
      <c r="J12" s="3" t="inlineStr">
        <is>
          <t>配方待补（面食口径）</t>
        </is>
      </c>
    </row>
    <row r="13">
      <c r="A13" s="4" t="n">
        <v>18</v>
      </c>
      <c r="B13" s="4" t="inlineStr">
        <is>
          <t>红汤大锅</t>
        </is>
      </c>
      <c r="C13" s="4" t="n">
        <v>93.64</v>
      </c>
      <c r="D13" s="4" t="n">
        <v>0.28</v>
      </c>
      <c r="E13" s="4" t="n">
        <v>5</v>
      </c>
      <c r="F13" s="4" t="n">
        <v>18.73</v>
      </c>
      <c r="G13" s="4" t="n">
        <v>11.58</v>
      </c>
      <c r="H13" s="4" t="n">
        <v>38.2</v>
      </c>
      <c r="I13" s="4" t="inlineStr">
        <is>
          <t>D菜品</t>
        </is>
      </c>
      <c r="J13" s="4" t="inlineStr">
        <is>
          <t>v2成本11.58 ⇒ 毛利38.2%</t>
        </is>
      </c>
    </row>
    <row r="14">
      <c r="A14" s="3" t="n">
        <v>19</v>
      </c>
      <c r="B14" s="3" t="inlineStr">
        <is>
          <t>牛肉三两</t>
        </is>
      </c>
      <c r="C14" s="3" t="n">
        <v>90</v>
      </c>
      <c r="D14" s="3" t="n">
        <v>0.27</v>
      </c>
      <c r="E14" s="3" t="n">
        <v>5</v>
      </c>
      <c r="F14" s="3" t="n">
        <v>18</v>
      </c>
      <c r="G14" s="3" t="inlineStr">
        <is>
          <t>待补</t>
        </is>
      </c>
      <c r="H14" s="3" t="inlineStr">
        <is>
          <t>—</t>
        </is>
      </c>
      <c r="I14" s="3" t="inlineStr">
        <is>
          <t>C面食</t>
        </is>
      </c>
      <c r="J14" s="3" t="inlineStr">
        <is>
          <t>配方待补（面食口径）</t>
        </is>
      </c>
    </row>
    <row r="15">
      <c r="A15" s="3" t="n">
        <v>20</v>
      </c>
      <c r="B15" s="3" t="inlineStr">
        <is>
          <t>蛋炒饭</t>
        </is>
      </c>
      <c r="C15" s="3" t="n">
        <v>90</v>
      </c>
      <c r="D15" s="3" t="n">
        <v>0.27</v>
      </c>
      <c r="E15" s="3" t="n">
        <v>9</v>
      </c>
      <c r="F15" s="3" t="n">
        <v>10</v>
      </c>
      <c r="G15" s="3" t="inlineStr">
        <is>
          <t>待补</t>
        </is>
      </c>
      <c r="H15" s="3" t="inlineStr">
        <is>
          <t>—</t>
        </is>
      </c>
      <c r="I15" s="3" t="inlineStr">
        <is>
          <t>C面食</t>
        </is>
      </c>
      <c r="J15" s="3" t="inlineStr">
        <is>
          <t>配方待补</t>
        </is>
      </c>
    </row>
    <row r="16">
      <c r="A16" s="5" t="inlineStr"/>
      <c r="B16" s="5" t="inlineStr">
        <is>
          <t>合计</t>
        </is>
      </c>
      <c r="C16" s="5" t="n">
        <v>1503.51</v>
      </c>
      <c r="D16" s="5" t="n">
        <v>4.54</v>
      </c>
      <c r="E16" s="5" t="n">
        <v>117</v>
      </c>
      <c r="F16" s="5" t="inlineStr"/>
      <c r="G16" s="5" t="inlineStr"/>
      <c r="H16" s="5" t="inlineStr"/>
      <c r="I16" s="5" t="inlineStr"/>
      <c r="J16" s="5" t="inlineStr"/>
    </row>
    <row r="17">
      <c r="A17" s="6" t="inlineStr">
        <is>
          <t>说明</t>
        </is>
      </c>
    </row>
    <row r="18" ht="30" customHeight="1">
      <c r="A18" s="7" t="inlineStr">
        <is>
          <t>两批合计 20 道 = 免费档卡上限，覆盖 6005.63 元（18.12%）。</t>
        </is>
      </c>
    </row>
    <row r="19" ht="30" customHeight="1">
      <c r="A19" s="7" t="inlineStr">
        <is>
          <t>13 道里只有「耙肥肠」「红汤大锅」有 v2 配方成本，其余 11 道配方待补 ⇒ 建卡前需先补配方（可再让豆包查证一轮）。</t>
        </is>
      </c>
    </row>
    <row r="20" ht="30" customHeight="1">
      <c r="A20" s="7" t="inlineStr">
        <is>
          <t>⚠️ 耙肥肠（四两）实际售价 23.40 元、v2成本 16.10 元 ⇒ 毛利仅 31.2%，全表最低，务必复核。</t>
        </is>
      </c>
    </row>
    <row r="21" ht="30" customHeight="1">
      <c r="A21" s="7" t="inlineStr">
        <is>
          <t>未进第二批的可建卡项：郡花 64.24、煎蛋 62.00（金额太低，卡不够时优先放弃）；第 61 名之后还有 C+D 1652.03 元需付费后才能建。</t>
        </is>
      </c>
    </row>
  </sheetData>
  <mergeCells count="5">
    <mergeCell ref="A1:J1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2" customWidth="1" min="4" max="4"/>
    <col width="10" customWidth="1" min="5" max="5"/>
    <col width="22" customWidth="1" min="6" max="6"/>
    <col width="14" customWidth="1" min="7" max="7"/>
    <col width="16" customWidth="1" min="8" max="8"/>
  </cols>
  <sheetData>
    <row r="1" ht="26" customHeight="1">
      <c r="A1" s="1" t="inlineStr">
        <is>
          <t>快餐 = 自助价格档位（随便吃）→ 全表 5 档 · 不建单品成本卡</t>
        </is>
      </c>
    </row>
    <row r="2" ht="22" customHeight="1">
      <c r="A2" s="2" t="inlineStr">
        <is>
          <t>档位</t>
        </is>
      </c>
      <c r="B2" s="2" t="inlineStr">
        <is>
          <t>份数</t>
        </is>
      </c>
      <c r="C2" s="2" t="inlineStr">
        <is>
          <t>单价(元)</t>
        </is>
      </c>
      <c r="D2" s="2" t="inlineStr">
        <is>
          <t>销售额(元)</t>
        </is>
      </c>
      <c r="E2" s="2" t="inlineStr">
        <is>
          <t>占总额%</t>
        </is>
      </c>
      <c r="F2" s="2" t="inlineStr">
        <is>
          <t>含义（用户确认）</t>
        </is>
      </c>
      <c r="G2" s="2" t="inlineStr">
        <is>
          <t>性质</t>
        </is>
      </c>
      <c r="H2" s="2" t="inlineStr">
        <is>
          <t>建卡决策</t>
        </is>
      </c>
    </row>
    <row r="3">
      <c r="A3" s="8" t="inlineStr">
        <is>
          <t>快餐 15 元</t>
        </is>
      </c>
      <c r="B3" s="8" t="n">
        <v>930</v>
      </c>
      <c r="C3" s="8" t="n">
        <v>15</v>
      </c>
      <c r="D3" s="8" t="n">
        <v>13950</v>
      </c>
      <c r="E3" s="8" t="n">
        <v>42.09</v>
      </c>
      <c r="F3" s="8" t="inlineStr">
        <is>
          <t>正价·随便吃</t>
        </is>
      </c>
      <c r="G3" s="8" t="inlineStr">
        <is>
          <t>自助·价格档位</t>
        </is>
      </c>
      <c r="H3" s="8" t="inlineStr">
        <is>
          <t>不建单品卡</t>
        </is>
      </c>
    </row>
    <row r="4">
      <c r="A4" s="8" t="inlineStr">
        <is>
          <t>快餐 12 元</t>
        </is>
      </c>
      <c r="B4" s="8" t="n">
        <v>9</v>
      </c>
      <c r="C4" s="8" t="n">
        <v>12</v>
      </c>
      <c r="D4" s="8" t="n">
        <v>108</v>
      </c>
      <c r="E4" s="8" t="n">
        <v>0.33</v>
      </c>
      <c r="F4" s="8" t="inlineStr">
        <is>
          <t>会员价·随便吃</t>
        </is>
      </c>
      <c r="G4" s="8" t="inlineStr">
        <is>
          <t>自助·价格档位</t>
        </is>
      </c>
      <c r="H4" s="8" t="inlineStr">
        <is>
          <t>不建单品卡</t>
        </is>
      </c>
    </row>
    <row r="5">
      <c r="A5" s="8" t="inlineStr">
        <is>
          <t>快餐 10 元</t>
        </is>
      </c>
      <c r="B5" s="8" t="n">
        <v>16</v>
      </c>
      <c r="C5" s="8" t="n">
        <v>10</v>
      </c>
      <c r="D5" s="8" t="n">
        <v>160</v>
      </c>
      <c r="E5" s="8" t="n">
        <v>0.48</v>
      </c>
      <c r="F5" s="8" t="inlineStr">
        <is>
          <t>菜少/尾市·随便吃</t>
        </is>
      </c>
      <c r="G5" s="8" t="inlineStr">
        <is>
          <t>自助·价格档位</t>
        </is>
      </c>
      <c r="H5" s="8" t="inlineStr">
        <is>
          <t>不建单品卡</t>
        </is>
      </c>
    </row>
    <row r="6">
      <c r="A6" s="8" t="inlineStr">
        <is>
          <t>快餐 5 元</t>
        </is>
      </c>
      <c r="B6" s="8" t="n">
        <v>22</v>
      </c>
      <c r="C6" s="8" t="n">
        <v>5</v>
      </c>
      <c r="D6" s="8" t="n">
        <v>110</v>
      </c>
      <c r="E6" s="8" t="n">
        <v>0.33</v>
      </c>
      <c r="F6" s="8" t="inlineStr">
        <is>
          <t>价格档位</t>
        </is>
      </c>
      <c r="G6" s="8" t="inlineStr">
        <is>
          <t>自助·价格档位</t>
        </is>
      </c>
      <c r="H6" s="8" t="inlineStr">
        <is>
          <t>不建单品卡</t>
        </is>
      </c>
    </row>
    <row r="7">
      <c r="A7" s="8" t="inlineStr">
        <is>
          <t>8 元快餐</t>
        </is>
      </c>
      <c r="B7" s="8" t="n">
        <v>7</v>
      </c>
      <c r="C7" s="8" t="n">
        <v>8</v>
      </c>
      <c r="D7" s="8" t="n">
        <v>56</v>
      </c>
      <c r="E7" s="8" t="n">
        <v>0.17</v>
      </c>
      <c r="F7" s="8" t="inlineStr">
        <is>
          <t>价格档位</t>
        </is>
      </c>
      <c r="G7" s="8" t="inlineStr">
        <is>
          <t>自助·价格档位</t>
        </is>
      </c>
      <c r="H7" s="8" t="inlineStr">
        <is>
          <t>不建单品卡</t>
        </is>
      </c>
    </row>
    <row r="8">
      <c r="A8" s="5" t="inlineStr">
        <is>
          <t>合计</t>
        </is>
      </c>
      <c r="B8" s="5" t="n">
        <v>984</v>
      </c>
      <c r="C8" s="5" t="n">
        <v>14.62</v>
      </c>
      <c r="D8" s="5" t="n">
        <v>14384</v>
      </c>
      <c r="E8" s="5" t="n">
        <v>43.4</v>
      </c>
      <c r="F8" s="5" t="inlineStr">
        <is>
          <t>全表 5 个档位</t>
        </is>
      </c>
      <c r="G8" s="5" t="inlineStr">
        <is>
          <t>占总额 43.40%</t>
        </is>
      </c>
      <c r="H8" s="5" t="inlineStr">
        <is>
          <t>改用人均成本口径</t>
        </is>
      </c>
    </row>
    <row r="9">
      <c r="A9" s="6" t="inlineStr">
        <is>
          <t>定性依据与影响（用户 2026-10-10 确认）</t>
        </is>
      </c>
    </row>
    <row r="10" ht="30" customHeight="1">
      <c r="A10" s="7" t="inlineStr">
        <is>
          <t>1. 快餐 = 自助：一份钱随便吃。15=正价 / 12=会员 / 10=菜少或尾市降价（另有 5 元、8 元档）。</t>
        </is>
      </c>
    </row>
    <row r="11" ht="30" customHeight="1">
      <c r="A11" s="7" t="inlineStr">
        <is>
          <t>2. 不是一道菜、无固定配方 ⇒ 不建单品成本卡；硬塞 = 假数据（自助食材消耗随顾客取量波动）。</t>
        </is>
      </c>
    </row>
    <row r="12" ht="30" customHeight="1">
      <c r="A12" s="7" t="inlineStr">
        <is>
          <t>3. 正确口径 = 自助人均食材成本：餐线食材消耗总额 ÷ 份数（见④表模板）。</t>
        </is>
      </c>
    </row>
    <row r="13" ht="30" customHeight="1">
      <c r="A13" s="7" t="inlineStr">
        <is>
          <t>4. 影响：占全表 43.40%，是最大收入项，却天然不在单品卡体系内 ⇒ 覆盖率分母必须重算（见⑤表）。</t>
        </is>
      </c>
    </row>
  </sheetData>
  <mergeCells count="5">
    <mergeCell ref="A12:H12"/>
    <mergeCell ref="A10:H10"/>
    <mergeCell ref="A13:H13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50" customWidth="1" min="4" max="4"/>
    <col width="12" customWidth="1" min="5" max="5"/>
  </cols>
  <sheetData>
    <row r="1" ht="26" customHeight="1">
      <c r="A1" s="1" t="inlineStr">
        <is>
          <t>自助快餐成本核算模板（替代单品成本卡 —— 只需用户填 A 项）</t>
        </is>
      </c>
    </row>
    <row r="2" ht="22" customHeight="1">
      <c r="A2" s="2" t="inlineStr">
        <is>
          <t>项</t>
        </is>
      </c>
      <c r="B2" s="2" t="inlineStr">
        <is>
          <t>字段</t>
        </is>
      </c>
      <c r="C2" s="2" t="inlineStr">
        <is>
          <t>值</t>
        </is>
      </c>
      <c r="D2" s="2" t="inlineStr">
        <is>
          <t>说明</t>
        </is>
      </c>
      <c r="E2" s="2" t="inlineStr">
        <is>
          <t>来源</t>
        </is>
      </c>
    </row>
    <row r="3">
      <c r="A3" s="3" t="inlineStr">
        <is>
          <t>A</t>
        </is>
      </c>
      <c r="B3" s="3" t="inlineStr">
        <is>
          <t>本月自助餐线食材消耗总额（元）</t>
        </is>
      </c>
      <c r="C3" s="3" t="inlineStr">
        <is>
          <t>____</t>
        </is>
      </c>
      <c r="D3" s="3" t="inlineStr">
        <is>
          <t>采购/领用台账：米面、肉、菜、油、调料（只算自助档）</t>
        </is>
      </c>
      <c r="E3" s="3" t="inlineStr">
        <is>
          <t>需用户填</t>
        </is>
      </c>
    </row>
    <row r="4">
      <c r="A4" s="3" t="inlineStr">
        <is>
          <t>B</t>
        </is>
      </c>
      <c r="B4" s="3" t="inlineStr">
        <is>
          <t>本月自助就餐份数</t>
        </is>
      </c>
      <c r="C4" s="3" t="n">
        <v>984</v>
      </c>
      <c r="D4" s="3" t="inlineStr">
        <is>
          <t>15元930 + 12元9 + 10元16 + 5元22 + 8元7 = 984 份</t>
        </is>
      </c>
      <c r="E4" s="3" t="inlineStr">
        <is>
          <t>已有</t>
        </is>
      </c>
    </row>
    <row r="5">
      <c r="A5" s="3" t="inlineStr">
        <is>
          <t>C</t>
        </is>
      </c>
      <c r="B5" s="3" t="inlineStr">
        <is>
          <t>自助人均食材成本（元/人）</t>
        </is>
      </c>
      <c r="C5" s="3">
        <f>A÷B</f>
        <v/>
      </c>
      <c r="D5" s="3" t="inlineStr">
        <is>
          <t>例：A=6000 → C=6.10 元/人</t>
        </is>
      </c>
      <c r="E5" s="3" t="inlineStr">
        <is>
          <t>自动算</t>
        </is>
      </c>
    </row>
    <row r="6">
      <c r="A6" s="3" t="inlineStr">
        <is>
          <t>D</t>
        </is>
      </c>
      <c r="B6" s="3" t="inlineStr">
        <is>
          <t>自助人均售价（元/人）</t>
        </is>
      </c>
      <c r="C6" s="3" t="n">
        <v>14.62</v>
      </c>
      <c r="D6" s="3" t="inlineStr">
        <is>
          <t>14384 ÷ 984</t>
        </is>
      </c>
      <c r="E6" s="3" t="inlineStr">
        <is>
          <t>已有</t>
        </is>
      </c>
    </row>
    <row r="7">
      <c r="A7" s="3" t="inlineStr">
        <is>
          <t>E</t>
        </is>
      </c>
      <c r="B7" s="3" t="inlineStr">
        <is>
          <t>自助毛利率</t>
        </is>
      </c>
      <c r="C7" s="3">
        <f>(D-C)÷D</f>
        <v/>
      </c>
      <c r="D7" s="3" t="inlineStr">
        <is>
          <t>例：C=6.10 → E=59.1%</t>
        </is>
      </c>
      <c r="E7" s="3" t="inlineStr">
        <is>
          <t>自动算</t>
        </is>
      </c>
    </row>
    <row r="8">
      <c r="A8" s="3" t="inlineStr"/>
      <c r="B8" s="3" t="inlineStr"/>
      <c r="C8" s="3" t="inlineStr"/>
      <c r="D8" s="3" t="inlineStr"/>
      <c r="E8" s="3" t="inlineStr"/>
    </row>
    <row r="9">
      <c r="A9" s="8" t="inlineStr">
        <is>
          <t>参考</t>
        </is>
      </c>
      <c r="B9" s="8" t="inlineStr">
        <is>
          <t>自助快餐食材成本率经验区间</t>
        </is>
      </c>
      <c r="C9" s="8" t="inlineStr">
        <is>
          <t>35%~50%</t>
        </is>
      </c>
      <c r="D9" s="8" t="inlineStr">
        <is>
          <t>人均售价 14.62 元 → 人均食材成本约 5.12~7.31 元</t>
        </is>
      </c>
      <c r="E9" s="8" t="inlineStr">
        <is>
          <t>行业参考</t>
        </is>
      </c>
    </row>
    <row r="10">
      <c r="A10" s="8" t="inlineStr">
        <is>
          <t>参考</t>
        </is>
      </c>
      <c r="B10" s="8" t="inlineStr">
        <is>
          <t>对应毛利率区间</t>
        </is>
      </c>
      <c r="C10" s="8" t="inlineStr">
        <is>
          <t>50%~65%</t>
        </is>
      </c>
      <c r="D10" s="8" t="inlineStr">
        <is>
          <t>低于 50% ⇒ 取量失控或损耗过高，需查</t>
        </is>
      </c>
      <c r="E10" s="8" t="inlineStr">
        <is>
          <t>行业参考</t>
        </is>
      </c>
    </row>
    <row r="11">
      <c r="A11" s="3" t="inlineStr"/>
      <c r="B11" s="3" t="inlineStr"/>
      <c r="C11" s="3" t="inlineStr"/>
      <c r="D11" s="3" t="inlineStr"/>
      <c r="E11" s="3" t="inlineStr"/>
    </row>
    <row r="12">
      <c r="A12" s="9" t="inlineStr">
        <is>
          <t>待办</t>
        </is>
      </c>
      <c r="B12" s="9" t="inlineStr">
        <is>
          <t>① 取自助档食材消耗（A 项）</t>
        </is>
      </c>
      <c r="C12" s="9" t="inlineStr"/>
      <c r="D12" s="9" t="inlineStr">
        <is>
          <t>系统分不出可用「当月总食材采购 − 点菜部分估算」倒推</t>
        </is>
      </c>
      <c r="E12" s="9" t="inlineStr">
        <is>
          <t>用户</t>
        </is>
      </c>
    </row>
    <row r="13">
      <c r="A13" s="9" t="inlineStr">
        <is>
          <t>待办</t>
        </is>
      </c>
      <c r="B13" s="9" t="inlineStr">
        <is>
          <t>② 确认「8 元快餐」是否同属自助</t>
        </is>
      </c>
      <c r="C13" s="9" t="inlineStr"/>
      <c r="D13" s="9" t="inlineStr">
        <is>
          <t>7 份 56 元，金额小，性质待确认</t>
        </is>
      </c>
      <c r="E13" s="9" t="inlineStr">
        <is>
          <t>用户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52" customWidth="1" min="8" max="8"/>
  </cols>
  <sheetData>
    <row r="1" ht="26" customHeight="1">
      <c r="A1" s="1" t="inlineStr">
        <is>
          <t>覆盖率口径修正（R264 按金额算 —— 分母决定天花板）· 全表精确值</t>
        </is>
      </c>
    </row>
    <row r="2" ht="22" customHeight="1">
      <c r="A2" s="2" t="inlineStr">
        <is>
          <t>档</t>
        </is>
      </c>
      <c r="B2" s="2" t="inlineStr">
        <is>
          <t>口径</t>
        </is>
      </c>
      <c r="C2" s="2" t="inlineStr">
        <is>
          <t>分母(元)</t>
        </is>
      </c>
      <c r="D2" s="2" t="inlineStr">
        <is>
          <t>分子·示例(元)</t>
        </is>
      </c>
      <c r="E2" s="2" t="inlineStr">
        <is>
          <t>建7道%</t>
        </is>
      </c>
      <c r="F2" s="2" t="inlineStr">
        <is>
          <t>建20道%</t>
        </is>
      </c>
      <c r="G2" s="2" t="inlineStr">
        <is>
          <t>全建卡%</t>
        </is>
      </c>
      <c r="H2" s="2" t="inlineStr">
        <is>
          <t>评价</t>
        </is>
      </c>
    </row>
    <row r="3">
      <c r="A3" s="4" t="inlineStr">
        <is>
          <t>A</t>
        </is>
      </c>
      <c r="B3" s="4" t="inlineStr">
        <is>
          <t>现状：分母 = 全部销售额</t>
        </is>
      </c>
      <c r="C3" s="4" t="n">
        <v>33146.2</v>
      </c>
      <c r="D3" s="4" t="n">
        <v>4502.12</v>
      </c>
      <c r="E3" s="4" t="n">
        <v>13.6</v>
      </c>
      <c r="F3" s="4" t="n">
        <v>18.1</v>
      </c>
      <c r="G3" s="4" t="n">
        <v>23.5</v>
      </c>
      <c r="H3" s="4" t="inlineStr">
        <is>
          <t>❌ 分母含零售32.4%+自助43.4%，建满也只 23.5%，老板看着永远很低</t>
        </is>
      </c>
    </row>
    <row r="4">
      <c r="A4" s="8" t="inlineStr">
        <is>
          <t>B</t>
        </is>
      </c>
      <c r="B4" s="8" t="inlineStr">
        <is>
          <t>剔除零售转售（烟/酒/饮料/槟榔）</t>
        </is>
      </c>
      <c r="C4" s="8" t="n">
        <v>22415.4</v>
      </c>
      <c r="D4" s="8" t="n">
        <v>4502.12</v>
      </c>
      <c r="E4" s="8" t="n">
        <v>20.1</v>
      </c>
      <c r="F4" s="8" t="n">
        <v>26.8</v>
      </c>
      <c r="G4" s="8" t="n">
        <v>34.7</v>
      </c>
      <c r="H4" s="8" t="inlineStr">
        <is>
          <t>⭐ 推荐：转售品无成本卡概念，剔出合理</t>
        </is>
      </c>
    </row>
    <row r="5">
      <c r="A5" s="9" t="inlineStr">
        <is>
          <t>C</t>
        </is>
      </c>
      <c r="B5" s="9" t="inlineStr">
        <is>
          <t>B + 自助计入分子（人均成本口径）</t>
        </is>
      </c>
      <c r="C5" s="9" t="n">
        <v>22415.4</v>
      </c>
      <c r="D5" s="9" t="n">
        <v>18886.12</v>
      </c>
      <c r="E5" s="9" t="n">
        <v>84.3</v>
      </c>
      <c r="F5" s="9" t="n">
        <v>91</v>
      </c>
      <c r="G5" s="9" t="n">
        <v>98.90000000000001</v>
      </c>
      <c r="H5" s="9" t="inlineStr">
        <is>
          <t>⭐⭐ 最真实：建 7 道就到 84.3%，建 20 道 91.0%</t>
        </is>
      </c>
    </row>
    <row r="6">
      <c r="A6" s="4" t="inlineStr">
        <is>
          <t>D</t>
        </is>
      </c>
      <c r="B6" s="4" t="inlineStr">
        <is>
          <t>剔除零售 + 自助 + 其他（仅点菜类）</t>
        </is>
      </c>
      <c r="C6" s="4" t="n">
        <v>7783.9</v>
      </c>
      <c r="D6" s="4" t="n">
        <v>4502.12</v>
      </c>
      <c r="E6" s="4" t="n">
        <v>57.8</v>
      </c>
      <c r="F6" s="4" t="n">
        <v>77.2</v>
      </c>
      <c r="G6" s="4" t="n">
        <v>100</v>
      </c>
      <c r="H6" s="4" t="inlineStr">
        <is>
          <t>⚠️ 定义上 100%，但把 43% 的自助排除在外，掩盖最大缺口，不推荐</t>
        </is>
      </c>
    </row>
    <row r="7">
      <c r="A7" s="6" t="inlineStr">
        <is>
          <t>结论（改码需先审后合，本轮未动码）</t>
        </is>
      </c>
    </row>
    <row r="8" ht="30" customHeight="1">
      <c r="A8" s="7" t="inlineStr">
        <is>
          <t>1. 现 A 档天花板仅 23.5%（建满 20 道也只有 18.1%）⇒ 不是 Bug，是分母口径问题。</t>
        </is>
      </c>
    </row>
    <row r="9" ht="30" customHeight="1">
      <c r="A9" s="7" t="inlineStr">
        <is>
          <t>2. 推荐 C 档（=B档分母 + 自助计入分子）：建 7 道 → 84.3%，建 20 道 → 91.0%，真实且好看。</t>
        </is>
      </c>
    </row>
    <row r="10" ht="30" customHeight="1">
      <c r="A10" s="7" t="inlineStr">
        <is>
          <t>3. D 档不推荐：把 43.4% 的自助剔出分母后覆盖率虚高到 100%，最大的收入项反而没被核算。</t>
        </is>
      </c>
    </row>
    <row r="11" ht="30" customHeight="1">
      <c r="A11" s="7" t="inlineStr">
        <is>
          <t>4. ⚠️ R264 覆盖率当前实现为「分母=全部销售额」，改分母属口径变更，需李老师批准后再动代码。</t>
        </is>
      </c>
    </row>
  </sheetData>
  <mergeCells count="5">
    <mergeCell ref="A9:H9"/>
    <mergeCell ref="A10:H10"/>
    <mergeCell ref="A11:H11"/>
    <mergeCell ref="A1:H1"/>
    <mergeCell ref="A8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8" customWidth="1" min="4" max="4"/>
    <col width="12" customWidth="1" min="5" max="5"/>
    <col width="30" customWidth="1" min="6" max="6"/>
  </cols>
  <sheetData>
    <row r="1" ht="26" customHeight="1">
      <c r="A1" s="1" t="inlineStr">
        <is>
          <t>全表结构闭合校验（265 种 / 3280.3 份 / 33146.2 元）</t>
        </is>
      </c>
    </row>
    <row r="2" ht="22" customHeight="1">
      <c r="A2" s="2" t="inlineStr">
        <is>
          <t>类别</t>
        </is>
      </c>
      <c r="B2" s="2" t="inlineStr">
        <is>
          <t>金额(元)</t>
        </is>
      </c>
      <c r="C2" s="2" t="inlineStr">
        <is>
          <t>占总额%</t>
        </is>
      </c>
      <c r="D2" s="2" t="inlineStr">
        <is>
          <t>份数</t>
        </is>
      </c>
      <c r="E2" s="2" t="inlineStr">
        <is>
          <t>建卡决策</t>
        </is>
      </c>
      <c r="F2" s="2" t="inlineStr">
        <is>
          <t>说明</t>
        </is>
      </c>
    </row>
    <row r="3">
      <c r="A3" s="3" t="inlineStr">
        <is>
          <t>自助快餐（5 个价格档）</t>
        </is>
      </c>
      <c r="B3" s="3" t="n">
        <v>14384</v>
      </c>
      <c r="C3" s="3" t="n">
        <v>43.4</v>
      </c>
      <c r="D3" s="3" t="n">
        <v>984</v>
      </c>
      <c r="E3" s="3" t="inlineStr">
        <is>
          <t>不建单品卡</t>
        </is>
      </c>
      <c r="F3" s="3" t="inlineStr">
        <is>
          <t>人均食材成本口径（④表）</t>
        </is>
      </c>
    </row>
    <row r="4">
      <c r="A4" s="3" t="inlineStr">
        <is>
          <t>零售转售（烟/酒/饮料/槟榔/包装）</t>
        </is>
      </c>
      <c r="B4" s="3" t="n">
        <v>10730.8</v>
      </c>
      <c r="C4" s="3" t="n">
        <v>32.37</v>
      </c>
      <c r="D4" s="3" t="inlineStr">
        <is>
          <t>—</t>
        </is>
      </c>
      <c r="E4" s="3" t="inlineStr">
        <is>
          <t>不建卡</t>
        </is>
      </c>
      <c r="F4" s="3" t="inlineStr">
        <is>
          <t>毛利=进销差价，无配方</t>
        </is>
      </c>
    </row>
    <row r="5">
      <c r="A5" s="9" t="inlineStr">
        <is>
          <t>可建卡·面食 C（现制主食）</t>
        </is>
      </c>
      <c r="B5" s="9" t="n">
        <v>4280.85</v>
      </c>
      <c r="C5" s="9" t="n">
        <v>12.92</v>
      </c>
      <c r="D5" s="9" t="inlineStr">
        <is>
          <t>—</t>
        </is>
      </c>
      <c r="E5" s="9" t="inlineStr">
        <is>
          <t>✅ 建卡</t>
        </is>
      </c>
      <c r="F5" s="9" t="inlineStr">
        <is>
          <t>面+臊子+调料+骨汤</t>
        </is>
      </c>
    </row>
    <row r="6">
      <c r="A6" s="9" t="inlineStr">
        <is>
          <t>可建卡·菜品 D（火锅/炒菜/小吃）</t>
        </is>
      </c>
      <c r="B6" s="9" t="n">
        <v>3503.05</v>
      </c>
      <c r="C6" s="9" t="n">
        <v>10.57</v>
      </c>
      <c r="D6" s="9" t="inlineStr">
        <is>
          <t>—</t>
        </is>
      </c>
      <c r="E6" s="9" t="inlineStr">
        <is>
          <t>✅ 建卡</t>
        </is>
      </c>
      <c r="F6" s="9" t="inlineStr">
        <is>
          <t>火锅口径含生熟比/水发率</t>
        </is>
      </c>
    </row>
    <row r="7">
      <c r="A7" s="3" t="inlineStr">
        <is>
          <t>其他非菜品（加工费等）</t>
        </is>
      </c>
      <c r="B7" s="3" t="n">
        <v>247.5</v>
      </c>
      <c r="C7" s="3" t="n">
        <v>0.75</v>
      </c>
      <c r="D7" s="3" t="inlineStr">
        <is>
          <t>—</t>
        </is>
      </c>
      <c r="E7" s="3" t="inlineStr">
        <is>
          <t>不建卡</t>
        </is>
      </c>
      <c r="F7" s="3" t="inlineStr">
        <is>
          <t>服务费性质</t>
        </is>
      </c>
    </row>
    <row r="8">
      <c r="A8" s="5" t="inlineStr">
        <is>
          <t>合计</t>
        </is>
      </c>
      <c r="B8" s="5" t="n">
        <v>33146.2</v>
      </c>
      <c r="C8" s="5" t="n">
        <v>100</v>
      </c>
      <c r="D8" s="5" t="inlineStr">
        <is>
          <t>—</t>
        </is>
      </c>
      <c r="E8" s="5" t="inlineStr"/>
      <c r="F8" s="5" t="inlineStr">
        <is>
          <t>✅ 与文件合计行 33146.2 一致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0" customWidth="1" min="4" max="4"/>
    <col width="8" customWidth="1" min="5" max="5"/>
    <col width="20" customWidth="1" min="6" max="6"/>
    <col width="13" customWidth="1" min="7" max="7"/>
    <col width="34" customWidth="1" min="8" max="8"/>
  </cols>
  <sheetData>
    <row r="1" ht="26" customHeight="1">
      <c r="A1" s="1" t="inlineStr">
        <is>
          <t>业态洞察：这家店实际是「午餐自助快餐为主 + 正餐面食/火锅为辅」</t>
        </is>
      </c>
    </row>
    <row r="2" ht="22" customHeight="1">
      <c r="A2" s="2" t="inlineStr">
        <is>
          <t>时段/形态</t>
        </is>
      </c>
      <c r="B2" s="2" t="inlineStr">
        <is>
          <t>代表项</t>
        </is>
      </c>
      <c r="C2" s="2" t="inlineStr">
        <is>
          <t>销售额(元)</t>
        </is>
      </c>
      <c r="D2" s="2" t="inlineStr">
        <is>
          <t>占总额%</t>
        </is>
      </c>
      <c r="E2" s="2" t="inlineStr">
        <is>
          <t>份数</t>
        </is>
      </c>
      <c r="F2" s="2" t="inlineStr">
        <is>
          <t>成本口径</t>
        </is>
      </c>
      <c r="G2" s="2" t="inlineStr">
        <is>
          <t>单品卡</t>
        </is>
      </c>
      <c r="H2" s="2" t="inlineStr">
        <is>
          <t>说明</t>
        </is>
      </c>
    </row>
    <row r="3">
      <c r="A3" s="4" t="inlineStr">
        <is>
          <t>午餐·自助快餐</t>
        </is>
      </c>
      <c r="B3" s="4" t="inlineStr">
        <is>
          <t>快餐 15/12/10/5/8 元随便吃</t>
        </is>
      </c>
      <c r="C3" s="4" t="n">
        <v>14384</v>
      </c>
      <c r="D3" s="4" t="n">
        <v>43.4</v>
      </c>
      <c r="E3" s="4" t="n">
        <v>984</v>
      </c>
      <c r="F3" s="4" t="inlineStr">
        <is>
          <t>自助人均食材成本</t>
        </is>
      </c>
      <c r="G3" s="4" t="inlineStr">
        <is>
          <t>❌ 不适用单品卡</t>
        </is>
      </c>
      <c r="H3" s="4" t="inlineStr">
        <is>
          <t>★最大收入项，却游离在成本卡体系外</t>
        </is>
      </c>
    </row>
    <row r="4">
      <c r="A4" s="4" t="inlineStr">
        <is>
          <t>全天·零售转售</t>
        </is>
      </c>
      <c r="B4" s="4" t="inlineStr">
        <is>
          <t>香烟/酒水/饮料/槟榔</t>
        </is>
      </c>
      <c r="C4" s="4" t="n">
        <v>10730.8</v>
      </c>
      <c r="D4" s="4" t="n">
        <v>32.37</v>
      </c>
      <c r="E4" s="4" t="inlineStr">
        <is>
          <t>—</t>
        </is>
      </c>
      <c r="F4" s="4" t="inlineStr">
        <is>
          <t>固定进销差价</t>
        </is>
      </c>
      <c r="G4" s="4" t="inlineStr">
        <is>
          <t>❌ 无需建卡</t>
        </is>
      </c>
      <c r="H4" s="4" t="inlineStr">
        <is>
          <t>转售品，与成本卡无关</t>
        </is>
      </c>
    </row>
    <row r="5">
      <c r="A5" s="9" t="inlineStr">
        <is>
          <t>正餐·面食</t>
        </is>
      </c>
      <c r="B5" s="9" t="inlineStr">
        <is>
          <t>小面/抄手/韭叶/米线/肥肠面/刀削…</t>
        </is>
      </c>
      <c r="C5" s="9" t="n">
        <v>4280.85</v>
      </c>
      <c r="D5" s="9" t="n">
        <v>12.92</v>
      </c>
      <c r="E5" s="9" t="inlineStr">
        <is>
          <t>—</t>
        </is>
      </c>
      <c r="F5" s="9" t="inlineStr">
        <is>
          <t>面食口径</t>
        </is>
      </c>
      <c r="G5" s="9" t="inlineStr">
        <is>
          <t>✅ 建卡</t>
        </is>
      </c>
      <c r="H5" s="9" t="inlineStr">
        <is>
          <t>★单品卡真正的主力（12.92%）</t>
        </is>
      </c>
    </row>
    <row r="6">
      <c r="A6" s="9" t="inlineStr">
        <is>
          <t>正餐·火锅招牌</t>
        </is>
      </c>
      <c r="B6" s="9" t="inlineStr">
        <is>
          <t>耙牛肉/耙牛筋/耙肥肠/毛血旺/锅底…</t>
        </is>
      </c>
      <c r="C6" s="9" t="n">
        <v>3503.05</v>
      </c>
      <c r="D6" s="9" t="n">
        <v>10.57</v>
      </c>
      <c r="E6" s="9" t="inlineStr">
        <is>
          <t>—</t>
        </is>
      </c>
      <c r="F6" s="9" t="inlineStr">
        <is>
          <t>火锅口径</t>
        </is>
      </c>
      <c r="G6" s="9" t="inlineStr">
        <is>
          <t>✅ 建卡</t>
        </is>
      </c>
      <c r="H6" s="9" t="inlineStr">
        <is>
          <t>招牌菜，占 10.56%</t>
        </is>
      </c>
    </row>
    <row r="7">
      <c r="A7" s="4" t="inlineStr">
        <is>
          <t>其他</t>
        </is>
      </c>
      <c r="B7" s="4" t="inlineStr">
        <is>
          <t>加工费</t>
        </is>
      </c>
      <c r="C7" s="4" t="n">
        <v>247.5</v>
      </c>
      <c r="D7" s="4" t="n">
        <v>0.75</v>
      </c>
      <c r="E7" s="4" t="n">
        <v>16</v>
      </c>
      <c r="F7" s="4" t="inlineStr">
        <is>
          <t>—</t>
        </is>
      </c>
      <c r="G7" s="4" t="inlineStr">
        <is>
          <t>❌ 非菜品</t>
        </is>
      </c>
      <c r="H7" s="4" t="inlineStr">
        <is>
          <t>疑为服务费</t>
        </is>
      </c>
    </row>
    <row r="8">
      <c r="A8" s="6" t="inlineStr">
        <is>
          <t>对 M3 的启示</t>
        </is>
      </c>
    </row>
    <row r="9" ht="30" customHeight="1">
      <c r="A9" s="7" t="inlineStr">
        <is>
          <t>1. M3 现有「单品成本卡」只适配点菜类（面食 12.92% + 火锅 10.56% = 23.48% 金额），对 43.4% 的自助快餐无解。</t>
        </is>
      </c>
    </row>
    <row r="10" ht="30" customHeight="1">
      <c r="A10" s="7" t="inlineStr">
        <is>
          <t>2. 自助业态要的是「人均食材成本」，属另一种核算对象 ⇒ 若要做属新增卡类型，触碰 R190 红线（M3=加渠道、不加卡类型），必须先出增量规范再动码。</t>
        </is>
      </c>
    </row>
    <row r="11" ht="30" customHeight="1">
      <c r="A11" s="7" t="inlineStr">
        <is>
          <t>3. 短期不动码的替代：用④表模板在 Excel 算，结果直接进月度报表，不进小程序。</t>
        </is>
      </c>
    </row>
    <row r="12" ht="30" customHeight="1">
      <c r="A12" s="7" t="inlineStr">
        <is>
          <t>4. 建卡优先级被真实数据推翻两次：招牌菜代理排名（错）→ 销售额排名（对）。后续一律以销售额为准。</t>
        </is>
      </c>
    </row>
  </sheetData>
  <mergeCells count="5">
    <mergeCell ref="A9:H9"/>
    <mergeCell ref="A12:H12"/>
    <mergeCell ref="A10:H10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2026-10-10T16:05:26Z</dcterms:created>
  <dcterms:modified xsi:type="dcterms:W3CDTF">2026-10-10T16:05:26Z</dcterms:modified>
</cp:coreProperties>
</file>